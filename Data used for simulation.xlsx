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xl957\OneDrive - Cornell University\Desktop\E\1111_论文_Publication paper\20231018_Blockchain-based carbon registry\Manuscript\Revision 4\"/>
    </mc:Choice>
  </mc:AlternateContent>
  <xr:revisionPtr revIDLastSave="0" documentId="13_ncr:1_{96E674AF-379A-40DD-835E-AA0426781D2C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BAU scenario" sheetId="3" r:id="rId1"/>
    <sheet name="US-aligned scenario" sheetId="10" r:id="rId2"/>
    <sheet name="Token simulation resul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0" l="1"/>
  <c r="AO6" i="10"/>
  <c r="AV9" i="10"/>
  <c r="AV6" i="10" s="1"/>
  <c r="AU9" i="10"/>
  <c r="AU6" i="10" s="1"/>
  <c r="AT9" i="10"/>
  <c r="AT6" i="10" s="1"/>
  <c r="AS9" i="10"/>
  <c r="AS6" i="10" s="1"/>
  <c r="AR9" i="10"/>
  <c r="AQ9" i="10"/>
  <c r="AQ6" i="10" s="1"/>
  <c r="AP9" i="10"/>
  <c r="AO9" i="10"/>
  <c r="AN9" i="10"/>
  <c r="AN6" i="10" s="1"/>
  <c r="AM9" i="10"/>
  <c r="AM6" i="10" s="1"/>
  <c r="AL9" i="10"/>
  <c r="AL6" i="10" s="1"/>
  <c r="AK9" i="10"/>
  <c r="AK6" i="10" s="1"/>
  <c r="AJ9" i="10"/>
  <c r="AI9" i="10"/>
  <c r="AI6" i="10" s="1"/>
  <c r="AH9" i="10"/>
  <c r="AG9" i="10"/>
  <c r="AG6" i="10" s="1"/>
  <c r="AF9" i="10"/>
  <c r="AF6" i="10" s="1"/>
  <c r="AE9" i="10"/>
  <c r="AE6" i="10" s="1"/>
  <c r="AD9" i="10"/>
  <c r="AD6" i="10" s="1"/>
  <c r="AC9" i="10"/>
  <c r="AC6" i="10" s="1"/>
  <c r="AB9" i="10"/>
  <c r="AA9" i="10"/>
  <c r="AA6" i="10" s="1"/>
  <c r="Z9" i="10"/>
  <c r="Y9" i="10"/>
  <c r="Y6" i="10" s="1"/>
  <c r="X9" i="10"/>
  <c r="X6" i="10" s="1"/>
  <c r="W9" i="10"/>
  <c r="W6" i="10" s="1"/>
  <c r="V9" i="10"/>
  <c r="V6" i="10" s="1"/>
  <c r="U9" i="10"/>
  <c r="U6" i="10" s="1"/>
  <c r="T9" i="10"/>
  <c r="S9" i="10"/>
  <c r="S6" i="10" s="1"/>
  <c r="R9" i="10"/>
  <c r="Q9" i="10"/>
  <c r="Q6" i="10" s="1"/>
  <c r="P9" i="10"/>
  <c r="P6" i="10" s="1"/>
  <c r="O9" i="10"/>
  <c r="O6" i="10" s="1"/>
  <c r="N9" i="10"/>
  <c r="N6" i="10" s="1"/>
  <c r="M9" i="10"/>
  <c r="M6" i="10" s="1"/>
  <c r="L9" i="10"/>
  <c r="K9" i="10"/>
  <c r="K6" i="10" s="1"/>
  <c r="J9" i="10"/>
  <c r="I9" i="10"/>
  <c r="I6" i="10" s="1"/>
  <c r="H9" i="10"/>
  <c r="H6" i="10" s="1"/>
  <c r="G9" i="10"/>
  <c r="G6" i="10" s="1"/>
  <c r="F9" i="10"/>
  <c r="F6" i="10" s="1"/>
  <c r="E9" i="10"/>
  <c r="E6" i="10" s="1"/>
  <c r="D9" i="10"/>
  <c r="R8" i="10"/>
  <c r="J8" i="10"/>
  <c r="R7" i="10"/>
  <c r="J7" i="10"/>
  <c r="AR6" i="10"/>
  <c r="AP6" i="10"/>
  <c r="AJ6" i="10"/>
  <c r="AH6" i="10"/>
  <c r="AB6" i="10"/>
  <c r="Z6" i="10"/>
  <c r="T6" i="10"/>
  <c r="T7" i="10" s="1"/>
  <c r="R6" i="10"/>
  <c r="L6" i="10"/>
  <c r="L7" i="10" s="1"/>
  <c r="J6" i="10"/>
  <c r="D6" i="10"/>
  <c r="D7" i="10" s="1"/>
  <c r="U5" i="10"/>
  <c r="T5" i="10"/>
  <c r="S5" i="10"/>
  <c r="V7" i="3"/>
  <c r="V5" i="3"/>
  <c r="D7" i="3"/>
  <c r="V3" i="3"/>
  <c r="D6" i="3"/>
  <c r="V27" i="3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V6" i="3"/>
  <c r="D4" i="3"/>
  <c r="T15" i="10" l="1"/>
  <c r="V15" i="10" s="1"/>
  <c r="K7" i="10"/>
  <c r="K8" i="10"/>
  <c r="E8" i="10"/>
  <c r="E7" i="10"/>
  <c r="AB7" i="10"/>
  <c r="S7" i="10"/>
  <c r="S8" i="10"/>
  <c r="M7" i="10"/>
  <c r="M8" i="10"/>
  <c r="U8" i="10"/>
  <c r="U7" i="10"/>
  <c r="F8" i="10"/>
  <c r="F7" i="10"/>
  <c r="N8" i="10"/>
  <c r="N7" i="10"/>
  <c r="V8" i="10"/>
  <c r="G8" i="10"/>
  <c r="G7" i="10"/>
  <c r="O8" i="10"/>
  <c r="O7" i="10"/>
  <c r="W8" i="10"/>
  <c r="W7" i="10"/>
  <c r="H8" i="10"/>
  <c r="H7" i="10"/>
  <c r="P7" i="10"/>
  <c r="P8" i="10"/>
  <c r="X8" i="10"/>
  <c r="X7" i="10"/>
  <c r="Z7" i="10"/>
  <c r="Z8" i="10"/>
  <c r="I7" i="10"/>
  <c r="I8" i="10"/>
  <c r="Q8" i="10"/>
  <c r="Q7" i="10"/>
  <c r="Y7" i="10"/>
  <c r="Y8" i="10"/>
  <c r="AG8" i="10"/>
  <c r="D8" i="10"/>
  <c r="T8" i="10"/>
  <c r="L8" i="10"/>
  <c r="AB8" i="10"/>
  <c r="AV8" i="3"/>
  <c r="AU8" i="3"/>
  <c r="AU5" i="3" s="1"/>
  <c r="AT8" i="3"/>
  <c r="AT5" i="3" s="1"/>
  <c r="AS8" i="3"/>
  <c r="AS5" i="3" s="1"/>
  <c r="AR8" i="3"/>
  <c r="AR5" i="3" s="1"/>
  <c r="AQ8" i="3"/>
  <c r="AP8" i="3"/>
  <c r="AO8" i="3"/>
  <c r="AO5" i="3" s="1"/>
  <c r="AN8" i="3"/>
  <c r="AN5" i="3" s="1"/>
  <c r="AM8" i="3"/>
  <c r="AM5" i="3" s="1"/>
  <c r="AL8" i="3"/>
  <c r="AL5" i="3" s="1"/>
  <c r="AK8" i="3"/>
  <c r="AJ8" i="3"/>
  <c r="AI8" i="3"/>
  <c r="AH8" i="3"/>
  <c r="AH5" i="3" s="1"/>
  <c r="AG8" i="3"/>
  <c r="AG5" i="3" s="1"/>
  <c r="AF8" i="3"/>
  <c r="AF5" i="3" s="1"/>
  <c r="AE8" i="3"/>
  <c r="AD8" i="3"/>
  <c r="AD5" i="3" s="1"/>
  <c r="AC8" i="3"/>
  <c r="W5" i="3"/>
  <c r="X5" i="3"/>
  <c r="AC5" i="3"/>
  <c r="AE5" i="3"/>
  <c r="AI5" i="3"/>
  <c r="AJ5" i="3"/>
  <c r="AK5" i="3"/>
  <c r="AP5" i="3"/>
  <c r="AQ5" i="3"/>
  <c r="AV5" i="3"/>
  <c r="W3" i="3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T1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E4" i="3"/>
  <c r="F5" i="3"/>
  <c r="F6" i="3" s="1"/>
  <c r="G5" i="3"/>
  <c r="G6" i="3" s="1"/>
  <c r="I5" i="3"/>
  <c r="I6" i="3" s="1"/>
  <c r="L5" i="3"/>
  <c r="L7" i="3" s="1"/>
  <c r="M5" i="3"/>
  <c r="M7" i="3" s="1"/>
  <c r="O5" i="3"/>
  <c r="O7" i="3" s="1"/>
  <c r="R5" i="3"/>
  <c r="R6" i="3" s="1"/>
  <c r="S5" i="3"/>
  <c r="S6" i="3" s="1"/>
  <c r="U5" i="3"/>
  <c r="U6" i="3" s="1"/>
  <c r="AB8" i="3"/>
  <c r="AB5" i="3" s="1"/>
  <c r="AA8" i="3"/>
  <c r="AA5" i="3" s="1"/>
  <c r="Z8" i="3"/>
  <c r="Z5" i="3" s="1"/>
  <c r="Y8" i="3"/>
  <c r="Y5" i="3" s="1"/>
  <c r="X8" i="3"/>
  <c r="W8" i="3"/>
  <c r="V8" i="3"/>
  <c r="U8" i="3"/>
  <c r="T8" i="3"/>
  <c r="T5" i="3" s="1"/>
  <c r="S8" i="3"/>
  <c r="R8" i="3"/>
  <c r="Q8" i="3"/>
  <c r="Q5" i="3" s="1"/>
  <c r="P8" i="3"/>
  <c r="P5" i="3" s="1"/>
  <c r="O8" i="3"/>
  <c r="N8" i="3"/>
  <c r="N5" i="3" s="1"/>
  <c r="M8" i="3"/>
  <c r="L8" i="3"/>
  <c r="K8" i="3"/>
  <c r="K5" i="3" s="1"/>
  <c r="J8" i="3"/>
  <c r="J5" i="3" s="1"/>
  <c r="I8" i="3"/>
  <c r="H8" i="3"/>
  <c r="H5" i="3" s="1"/>
  <c r="G8" i="3"/>
  <c r="F8" i="3"/>
  <c r="E8" i="3"/>
  <c r="E5" i="3" s="1"/>
  <c r="D8" i="3"/>
  <c r="D5" i="3" s="1"/>
  <c r="AG7" i="10" l="1"/>
  <c r="AE8" i="10"/>
  <c r="AD7" i="10"/>
  <c r="AF8" i="10"/>
  <c r="AD8" i="10"/>
  <c r="AH7" i="10"/>
  <c r="AH8" i="10"/>
  <c r="AF7" i="10"/>
  <c r="AC8" i="10"/>
  <c r="AA8" i="10"/>
  <c r="AE7" i="10"/>
  <c r="AC7" i="10"/>
  <c r="AA7" i="10"/>
  <c r="AO6" i="3"/>
  <c r="AO7" i="3"/>
  <c r="K7" i="3"/>
  <c r="K6" i="3"/>
  <c r="AR6" i="3"/>
  <c r="AR7" i="3"/>
  <c r="T6" i="3"/>
  <c r="T7" i="3"/>
  <c r="AQ7" i="3"/>
  <c r="AF6" i="3"/>
  <c r="AF7" i="3"/>
  <c r="AP7" i="3"/>
  <c r="AG6" i="3"/>
  <c r="AG7" i="3"/>
  <c r="AS6" i="3"/>
  <c r="AS7" i="3"/>
  <c r="AN6" i="3"/>
  <c r="AN7" i="3"/>
  <c r="J6" i="3"/>
  <c r="J7" i="3"/>
  <c r="Y6" i="3"/>
  <c r="Y7" i="3"/>
  <c r="AK7" i="3"/>
  <c r="AH6" i="3"/>
  <c r="AH7" i="3"/>
  <c r="AT6" i="3"/>
  <c r="AT7" i="3"/>
  <c r="Z6" i="3"/>
  <c r="Z7" i="3"/>
  <c r="AJ7" i="3"/>
  <c r="AB6" i="3"/>
  <c r="AB7" i="3"/>
  <c r="E6" i="3"/>
  <c r="E7" i="3"/>
  <c r="Q6" i="3"/>
  <c r="Q7" i="3"/>
  <c r="AC7" i="3"/>
  <c r="H6" i="3"/>
  <c r="H7" i="3"/>
  <c r="AD7" i="3"/>
  <c r="AV7" i="3"/>
  <c r="N7" i="3"/>
  <c r="N6" i="3"/>
  <c r="AU6" i="3"/>
  <c r="AU7" i="3"/>
  <c r="AA6" i="3"/>
  <c r="AA7" i="3"/>
  <c r="P6" i="3"/>
  <c r="P7" i="3"/>
  <c r="AM6" i="3"/>
  <c r="AM7" i="3"/>
  <c r="AE6" i="3"/>
  <c r="X6" i="3"/>
  <c r="AI6" i="3"/>
  <c r="O6" i="3"/>
  <c r="U7" i="3"/>
  <c r="I7" i="3"/>
  <c r="M6" i="3"/>
  <c r="AE7" i="3"/>
  <c r="S7" i="3"/>
  <c r="G7" i="3"/>
  <c r="L6" i="3"/>
  <c r="R7" i="3"/>
  <c r="F7" i="3"/>
  <c r="AQ6" i="3"/>
  <c r="AC6" i="3"/>
  <c r="AP6" i="3"/>
  <c r="AL6" i="3"/>
  <c r="AL7" i="3"/>
  <c r="X7" i="3"/>
  <c r="AK6" i="3"/>
  <c r="AJ6" i="3"/>
  <c r="W6" i="3"/>
  <c r="AV6" i="3"/>
  <c r="AD6" i="3"/>
  <c r="AI7" i="3"/>
  <c r="W7" i="3"/>
  <c r="AI7" i="10" l="1"/>
  <c r="AI8" i="10"/>
  <c r="AJ7" i="10" l="1"/>
  <c r="AJ8" i="10"/>
  <c r="AK8" i="10" l="1"/>
  <c r="AK7" i="10"/>
  <c r="AL8" i="10" l="1"/>
  <c r="AL7" i="10"/>
  <c r="AM8" i="10" l="1"/>
  <c r="AM7" i="10"/>
  <c r="AN8" i="10" l="1"/>
  <c r="AN7" i="10"/>
  <c r="AO7" i="10" l="1"/>
  <c r="AO8" i="10"/>
  <c r="AP8" i="10" l="1"/>
  <c r="AP7" i="10"/>
  <c r="AQ8" i="10" l="1"/>
  <c r="AQ7" i="10"/>
  <c r="AR7" i="10" l="1"/>
  <c r="AR8" i="10"/>
  <c r="AS7" i="10" l="1"/>
  <c r="AS8" i="10"/>
  <c r="AT8" i="10" l="1"/>
  <c r="AT7" i="10"/>
  <c r="AU8" i="10" l="1"/>
  <c r="AU7" i="10"/>
  <c r="AV7" i="10" l="1"/>
  <c r="AV8" i="10"/>
</calcChain>
</file>

<file path=xl/sharedStrings.xml><?xml version="1.0" encoding="utf-8"?>
<sst xmlns="http://schemas.openxmlformats.org/spreadsheetml/2006/main" count="25" uniqueCount="14">
  <si>
    <t>Year</t>
  </si>
  <si>
    <t>Actual Carbon emission/ton</t>
  </si>
  <si>
    <t>Token for certification</t>
  </si>
  <si>
    <t>Base tokens</t>
  </si>
  <si>
    <t>Target carbon reduction rate</t>
  </si>
  <si>
    <t>Baseline carbon emissions</t>
  </si>
  <si>
    <t>Ideal annual reduction rate</t>
  </si>
  <si>
    <t>2005 carbon emission</t>
  </si>
  <si>
    <t>Annual CO2 reduction rate</t>
  </si>
  <si>
    <t>Average annual carbon reduction rate</t>
  </si>
  <si>
    <t>Tokens for certification in US-aligned scenario</t>
  </si>
  <si>
    <t>Tokens for certification in BAU scenario</t>
  </si>
  <si>
    <r>
      <rPr>
        <b/>
        <sz val="12"/>
        <color rgb="FFFF0000"/>
        <rFont val="Calibri"/>
        <family val="2"/>
        <scheme val="minor"/>
      </rPr>
      <t>The U.S.-aligned Scenario</t>
    </r>
    <r>
      <rPr>
        <b/>
        <sz val="12"/>
        <color theme="1"/>
        <rFont val="Calibri"/>
        <family val="2"/>
        <scheme val="minor"/>
      </rPr>
      <t xml:space="preserve"> assumes that NYC increases its carbon credibility index (From 2024-2030 with 4.94% carbon reduction rate, from 2031-2050 with 4.48% carbon reduction rate). Yellow highlighted part refers to the outputs based scenario-based simulation.</t>
    </r>
  </si>
  <si>
    <r>
      <rPr>
        <b/>
        <sz val="14"/>
        <color rgb="FFFF0000"/>
        <rFont val="Calibri"/>
        <family val="2"/>
        <scheme val="minor"/>
      </rPr>
      <t>The BAU Scenario</t>
    </r>
    <r>
      <rPr>
        <b/>
        <sz val="14"/>
        <color theme="1"/>
        <rFont val="Calibri"/>
        <family val="2"/>
        <scheme val="minor"/>
      </rPr>
      <t xml:space="preserve"> assumes that the average emission reduction rate between 2005 and 2023 prevails from 2024 to 2050, which is equal to 1.13%.   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The average emission reduction rate = (Actual carbon emissions in last year - Current year carbon emissions)/Actual carbon emissions in last year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</si>
</sst>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3" fontId="0" fillId="0" borderId="0" xfId="1" applyFont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3" fontId="1" fillId="0" borderId="0" xfId="1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Tokens for certification in two scenarios (US-aligned and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BAU</a:t>
            </a:r>
            <a:r>
              <a:rPr lang="en-US" sz="1400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US-aligned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'Token simulation result'!$A$3:$A$47</c:f>
              <c:numCache>
                <c:formatCode>General</c:formatCode>
                <c:ptCount val="4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  <c:pt idx="31">
                  <c:v>2037</c:v>
                </c:pt>
                <c:pt idx="32">
                  <c:v>2038</c:v>
                </c:pt>
                <c:pt idx="33">
                  <c:v>2039</c:v>
                </c:pt>
                <c:pt idx="34">
                  <c:v>2040</c:v>
                </c:pt>
                <c:pt idx="35">
                  <c:v>2041</c:v>
                </c:pt>
                <c:pt idx="36">
                  <c:v>2042</c:v>
                </c:pt>
                <c:pt idx="37">
                  <c:v>2043</c:v>
                </c:pt>
                <c:pt idx="38">
                  <c:v>2044</c:v>
                </c:pt>
                <c:pt idx="39">
                  <c:v>2045</c:v>
                </c:pt>
                <c:pt idx="40">
                  <c:v>2046</c:v>
                </c:pt>
                <c:pt idx="41">
                  <c:v>2047</c:v>
                </c:pt>
                <c:pt idx="42">
                  <c:v>2048</c:v>
                </c:pt>
                <c:pt idx="43">
                  <c:v>2049</c:v>
                </c:pt>
                <c:pt idx="44">
                  <c:v>2050</c:v>
                </c:pt>
              </c:numCache>
            </c:numRef>
          </c:cat>
          <c:val>
            <c:numRef>
              <c:f>'Token simulation result'!$B$3:$B$47</c:f>
              <c:numCache>
                <c:formatCode>_(* #,##0.00_);_(* \(#,##0.00\);_(* "-"??_);_(@_)</c:formatCode>
                <c:ptCount val="45"/>
                <c:pt idx="0">
                  <c:v>59383</c:v>
                </c:pt>
                <c:pt idx="1">
                  <c:v>596313.58909999952</c:v>
                </c:pt>
                <c:pt idx="2">
                  <c:v>80821.931954069063</c:v>
                </c:pt>
                <c:pt idx="3">
                  <c:v>137062.17780896649</c:v>
                </c:pt>
                <c:pt idx="4">
                  <c:v>652690.68697808124</c:v>
                </c:pt>
                <c:pt idx="5">
                  <c:v>270109.59152825177</c:v>
                </c:pt>
                <c:pt idx="6">
                  <c:v>225223.24355245382</c:v>
                </c:pt>
                <c:pt idx="7">
                  <c:v>398059.99765675701</c:v>
                </c:pt>
                <c:pt idx="8">
                  <c:v>478647.85968557931</c:v>
                </c:pt>
                <c:pt idx="9">
                  <c:v>957014.49101144448</c:v>
                </c:pt>
                <c:pt idx="10">
                  <c:v>1433187.2127720043</c:v>
                </c:pt>
                <c:pt idx="11">
                  <c:v>1587193.0100549087</c:v>
                </c:pt>
                <c:pt idx="12">
                  <c:v>139058.53603123128</c:v>
                </c:pt>
                <c:pt idx="13">
                  <c:v>428810.11603804678</c:v>
                </c:pt>
                <c:pt idx="14">
                  <c:v>2613526.2483892217</c:v>
                </c:pt>
                <c:pt idx="15">
                  <c:v>419657.58000000007</c:v>
                </c:pt>
                <c:pt idx="16">
                  <c:v>442151.50445199944</c:v>
                </c:pt>
                <c:pt idx="17">
                  <c:v>1032749.2201320715</c:v>
                </c:pt>
                <c:pt idx="18">
                  <c:v>981731.40865754522</c:v>
                </c:pt>
                <c:pt idx="19">
                  <c:v>933233.87706986442</c:v>
                </c:pt>
                <c:pt idx="20">
                  <c:v>887132.12354261242</c:v>
                </c:pt>
                <c:pt idx="21">
                  <c:v>843307.79663960822</c:v>
                </c:pt>
                <c:pt idx="22">
                  <c:v>801648.39148561098</c:v>
                </c:pt>
                <c:pt idx="23">
                  <c:v>762046.96094622277</c:v>
                </c:pt>
                <c:pt idx="24">
                  <c:v>724401.84107547812</c:v>
                </c:pt>
                <c:pt idx="25">
                  <c:v>693485.20396810584</c:v>
                </c:pt>
                <c:pt idx="26">
                  <c:v>662417.06683033518</c:v>
                </c:pt>
                <c:pt idx="27">
                  <c:v>632740.7822363358</c:v>
                </c:pt>
                <c:pt idx="28">
                  <c:v>604393.99519214872</c:v>
                </c:pt>
                <c:pt idx="29">
                  <c:v>577317.14420753997</c:v>
                </c:pt>
                <c:pt idx="30">
                  <c:v>551453.33614704199</c:v>
                </c:pt>
                <c:pt idx="31">
                  <c:v>526748.22668765485</c:v>
                </c:pt>
                <c:pt idx="32">
                  <c:v>503149.906132048</c:v>
                </c:pt>
                <c:pt idx="33">
                  <c:v>480608.79033733346</c:v>
                </c:pt>
                <c:pt idx="34">
                  <c:v>459077.5165302204</c:v>
                </c:pt>
                <c:pt idx="35">
                  <c:v>438510.84378966596</c:v>
                </c:pt>
                <c:pt idx="36">
                  <c:v>418865.55798788927</c:v>
                </c:pt>
                <c:pt idx="37">
                  <c:v>400100.38099003211</c:v>
                </c:pt>
                <c:pt idx="38">
                  <c:v>382175.88392167818</c:v>
                </c:pt>
                <c:pt idx="39">
                  <c:v>365054.40432198718</c:v>
                </c:pt>
                <c:pt idx="40">
                  <c:v>165054.40432198701</c:v>
                </c:pt>
                <c:pt idx="41" formatCode="General">
                  <c:v>55227.883829513099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F3-5045-B14F-8ED8873FB886}"/>
            </c:ext>
          </c:extLst>
        </c:ser>
        <c:ser>
          <c:idx val="1"/>
          <c:order val="1"/>
          <c:tx>
            <c:v>BAU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'Token simulation result'!$A$3:$A$47</c:f>
              <c:numCache>
                <c:formatCode>General</c:formatCode>
                <c:ptCount val="4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  <c:pt idx="31">
                  <c:v>2037</c:v>
                </c:pt>
                <c:pt idx="32">
                  <c:v>2038</c:v>
                </c:pt>
                <c:pt idx="33">
                  <c:v>2039</c:v>
                </c:pt>
                <c:pt idx="34">
                  <c:v>2040</c:v>
                </c:pt>
                <c:pt idx="35">
                  <c:v>2041</c:v>
                </c:pt>
                <c:pt idx="36">
                  <c:v>2042</c:v>
                </c:pt>
                <c:pt idx="37">
                  <c:v>2043</c:v>
                </c:pt>
                <c:pt idx="38">
                  <c:v>2044</c:v>
                </c:pt>
                <c:pt idx="39">
                  <c:v>2045</c:v>
                </c:pt>
                <c:pt idx="40">
                  <c:v>2046</c:v>
                </c:pt>
                <c:pt idx="41">
                  <c:v>2047</c:v>
                </c:pt>
                <c:pt idx="42">
                  <c:v>2048</c:v>
                </c:pt>
                <c:pt idx="43">
                  <c:v>2049</c:v>
                </c:pt>
                <c:pt idx="44">
                  <c:v>2050</c:v>
                </c:pt>
              </c:numCache>
            </c:numRef>
          </c:cat>
          <c:val>
            <c:numRef>
              <c:f>'Token simulation result'!$C$3:$C$47</c:f>
              <c:numCache>
                <c:formatCode>_(* #,##0.00_);_(* \(#,##0.00\);_(* "-"??_);_(@_)</c:formatCode>
                <c:ptCount val="45"/>
                <c:pt idx="0">
                  <c:v>59383</c:v>
                </c:pt>
                <c:pt idx="1">
                  <c:v>596313.58909999952</c:v>
                </c:pt>
                <c:pt idx="2">
                  <c:v>80821.931954069063</c:v>
                </c:pt>
                <c:pt idx="3">
                  <c:v>137062.17780896649</c:v>
                </c:pt>
                <c:pt idx="4">
                  <c:v>652690.68697808124</c:v>
                </c:pt>
                <c:pt idx="5">
                  <c:v>270109.59152825177</c:v>
                </c:pt>
                <c:pt idx="6">
                  <c:v>225223.24355245382</c:v>
                </c:pt>
                <c:pt idx="7">
                  <c:v>398059.99765675701</c:v>
                </c:pt>
                <c:pt idx="8">
                  <c:v>478647.85968557931</c:v>
                </c:pt>
                <c:pt idx="9">
                  <c:v>957014.49101144448</c:v>
                </c:pt>
                <c:pt idx="10">
                  <c:v>1433187.2127720043</c:v>
                </c:pt>
                <c:pt idx="11">
                  <c:v>1587193.0100549087</c:v>
                </c:pt>
                <c:pt idx="12">
                  <c:v>139058.53603123128</c:v>
                </c:pt>
                <c:pt idx="13">
                  <c:v>428810.11603804678</c:v>
                </c:pt>
                <c:pt idx="14">
                  <c:v>2613526.2483892217</c:v>
                </c:pt>
                <c:pt idx="15">
                  <c:v>419657.58000000007</c:v>
                </c:pt>
                <c:pt idx="16">
                  <c:v>442151.50445199944</c:v>
                </c:pt>
                <c:pt idx="17">
                  <c:v>1032749.2201320715</c:v>
                </c:pt>
                <c:pt idx="18">
                  <c:v>1461410.4086575452</c:v>
                </c:pt>
                <c:pt idx="19">
                  <c:v>1863475.3617698643</c:v>
                </c:pt>
                <c:pt idx="20">
                  <c:v>2240319.1837099418</c:v>
                </c:pt>
                <c:pt idx="21">
                  <c:v>2593248.3564418107</c:v>
                </c:pt>
                <c:pt idx="22">
                  <c:v>2923504.1374141239</c:v>
                </c:pt>
                <c:pt idx="23">
                  <c:v>3232265.7893838864</c:v>
                </c:pt>
                <c:pt idx="24">
                  <c:v>3520653.6505994964</c:v>
                </c:pt>
                <c:pt idx="25">
                  <c:v>3753978.2188955601</c:v>
                </c:pt>
                <c:pt idx="26">
                  <c:v>3970911.7810220402</c:v>
                </c:pt>
                <c:pt idx="27">
                  <c:v>4173774.9563796902</c:v>
                </c:pt>
                <c:pt idx="28">
                  <c:v>4363247.2732197531</c:v>
                </c:pt>
                <c:pt idx="29">
                  <c:v>4539977.2612511702</c:v>
                </c:pt>
                <c:pt idx="30">
                  <c:v>4704583.8466544291</c:v>
                </c:pt>
                <c:pt idx="31">
                  <c:v>4857657.6845278293</c:v>
                </c:pt>
                <c:pt idx="32">
                  <c:v>4999762.4315700028</c:v>
                </c:pt>
                <c:pt idx="33">
                  <c:v>5131435.9616768956</c:v>
                </c:pt>
                <c:pt idx="34">
                  <c:v>5253191.5270114327</c:v>
                </c:pt>
                <c:pt idx="35">
                  <c:v>5365518.8669894617</c:v>
                </c:pt>
                <c:pt idx="36">
                  <c:v>5468885.2675160915</c:v>
                </c:pt>
                <c:pt idx="37">
                  <c:v>5563736.5727019515</c:v>
                </c:pt>
                <c:pt idx="38">
                  <c:v>5650498.1511890581</c:v>
                </c:pt>
                <c:pt idx="39">
                  <c:v>5729575.8191204732</c:v>
                </c:pt>
                <c:pt idx="40">
                  <c:v>5801356.7216968788</c:v>
                </c:pt>
                <c:pt idx="41">
                  <c:v>5866210.1751760747</c:v>
                </c:pt>
                <c:pt idx="42">
                  <c:v>5924488.4710882977</c:v>
                </c:pt>
                <c:pt idx="43">
                  <c:v>5976527.6443607612</c:v>
                </c:pt>
                <c:pt idx="44">
                  <c:v>6022648.2069690377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F3-5045-B14F-8ED8873FB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352768"/>
        <c:axId val="1693012703"/>
      </c:barChart>
      <c:catAx>
        <c:axId val="72335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012703"/>
        <c:crosses val="autoZero"/>
        <c:auto val="1"/>
        <c:lblAlgn val="ctr"/>
        <c:lblOffset val="100"/>
        <c:noMultiLvlLbl val="0"/>
      </c:catAx>
      <c:valAx>
        <c:axId val="169301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35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1</xdr:row>
      <xdr:rowOff>63500</xdr:rowOff>
    </xdr:from>
    <xdr:to>
      <xdr:col>16</xdr:col>
      <xdr:colOff>673100</xdr:colOff>
      <xdr:row>28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C1A453-D39A-2C0B-ACE5-1113B8B93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2BCF-AF47-4BF8-AD49-873F87DEDF72}">
  <dimension ref="B1:AV28"/>
  <sheetViews>
    <sheetView tabSelected="1" topLeftCell="A7" zoomScale="123" zoomScaleNormal="123" workbookViewId="0">
      <selection activeCell="J11" sqref="J11"/>
    </sheetView>
  </sheetViews>
  <sheetFormatPr defaultColWidth="8.81640625" defaultRowHeight="14.5" x14ac:dyDescent="0.35"/>
  <cols>
    <col min="2" max="2" width="25.81640625" customWidth="1"/>
    <col min="4" max="4" width="9.81640625" bestFit="1" customWidth="1"/>
    <col min="22" max="22" width="13.1796875" bestFit="1" customWidth="1"/>
    <col min="29" max="29" width="9.81640625" bestFit="1" customWidth="1"/>
    <col min="41" max="41" width="12" customWidth="1"/>
    <col min="42" max="42" width="10.453125" customWidth="1"/>
    <col min="43" max="43" width="12.36328125" customWidth="1"/>
    <col min="44" max="44" width="12.6328125" customWidth="1"/>
    <col min="45" max="45" width="11.1796875" customWidth="1"/>
    <col min="46" max="46" width="10.1796875" customWidth="1"/>
    <col min="47" max="48" width="10.81640625" customWidth="1"/>
  </cols>
  <sheetData>
    <row r="1" spans="2:48" x14ac:dyDescent="0.35">
      <c r="B1" s="2" t="s">
        <v>6</v>
      </c>
      <c r="C1" s="6">
        <v>1.23E-2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>
        <v>4.9399999999999999E-2</v>
      </c>
      <c r="T1" s="7"/>
      <c r="U1" s="7"/>
      <c r="V1" s="7"/>
      <c r="W1" s="7"/>
      <c r="X1" s="7"/>
      <c r="Y1" s="7"/>
      <c r="Z1" s="7"/>
      <c r="AA1" s="7"/>
      <c r="AB1" s="7"/>
      <c r="AC1" s="8">
        <v>4.9399999999999999E-2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spans="2:48" x14ac:dyDescent="0.35">
      <c r="B2" s="2" t="s">
        <v>0</v>
      </c>
      <c r="C2">
        <v>2005</v>
      </c>
      <c r="D2">
        <v>2006</v>
      </c>
      <c r="E2">
        <v>2007</v>
      </c>
      <c r="F2">
        <v>2008</v>
      </c>
      <c r="G2">
        <v>2009</v>
      </c>
      <c r="H2">
        <v>2010</v>
      </c>
      <c r="I2">
        <v>2011</v>
      </c>
      <c r="J2">
        <v>2012</v>
      </c>
      <c r="K2">
        <v>2013</v>
      </c>
      <c r="L2">
        <v>2014</v>
      </c>
      <c r="M2">
        <v>2015</v>
      </c>
      <c r="N2">
        <v>2016</v>
      </c>
      <c r="O2">
        <v>2017</v>
      </c>
      <c r="P2">
        <v>2018</v>
      </c>
      <c r="Q2">
        <v>2019</v>
      </c>
      <c r="R2">
        <v>2020</v>
      </c>
      <c r="S2">
        <v>2021</v>
      </c>
      <c r="T2">
        <v>2022</v>
      </c>
      <c r="U2">
        <v>2023</v>
      </c>
      <c r="V2" s="1">
        <v>2024</v>
      </c>
      <c r="W2" s="1">
        <v>2025</v>
      </c>
      <c r="X2" s="1">
        <v>2026</v>
      </c>
      <c r="Y2" s="1">
        <v>2027</v>
      </c>
      <c r="Z2" s="1">
        <v>2028</v>
      </c>
      <c r="AA2" s="1">
        <v>2029</v>
      </c>
      <c r="AB2" s="1">
        <v>2030</v>
      </c>
      <c r="AC2" s="1">
        <v>2031</v>
      </c>
      <c r="AD2" s="1">
        <v>2032</v>
      </c>
      <c r="AE2" s="1">
        <v>2033</v>
      </c>
      <c r="AF2" s="1">
        <v>2034</v>
      </c>
      <c r="AG2" s="1">
        <v>2035</v>
      </c>
      <c r="AH2" s="1">
        <v>2036</v>
      </c>
      <c r="AI2" s="1">
        <v>2037</v>
      </c>
      <c r="AJ2" s="1">
        <v>2038</v>
      </c>
      <c r="AK2" s="1">
        <v>2039</v>
      </c>
      <c r="AL2" s="1">
        <v>2040</v>
      </c>
      <c r="AM2" s="1">
        <v>2041</v>
      </c>
      <c r="AN2" s="1">
        <v>2042</v>
      </c>
      <c r="AO2" s="1">
        <v>2043</v>
      </c>
      <c r="AP2" s="1">
        <v>2044</v>
      </c>
      <c r="AQ2" s="1">
        <v>2045</v>
      </c>
      <c r="AR2" s="1">
        <v>2046</v>
      </c>
      <c r="AS2" s="1">
        <v>2047</v>
      </c>
      <c r="AT2" s="1">
        <v>2048</v>
      </c>
      <c r="AU2" s="1">
        <v>2049</v>
      </c>
      <c r="AV2" s="1">
        <v>2050</v>
      </c>
    </row>
    <row r="3" spans="2:48" x14ac:dyDescent="0.35">
      <c r="B3" s="2" t="s">
        <v>1</v>
      </c>
      <c r="C3">
        <v>16210000</v>
      </c>
      <c r="D3">
        <v>16070000</v>
      </c>
      <c r="E3">
        <v>16410000</v>
      </c>
      <c r="F3">
        <v>15700000</v>
      </c>
      <c r="G3">
        <v>15290000</v>
      </c>
      <c r="H3">
        <v>15890000</v>
      </c>
      <c r="I3">
        <v>15320000</v>
      </c>
      <c r="J3">
        <v>15090000</v>
      </c>
      <c r="K3">
        <v>15080000</v>
      </c>
      <c r="L3">
        <v>14980000</v>
      </c>
      <c r="M3">
        <v>15280000</v>
      </c>
      <c r="N3">
        <v>15580000</v>
      </c>
      <c r="O3">
        <v>15560000</v>
      </c>
      <c r="P3">
        <v>13940000</v>
      </c>
      <c r="Q3">
        <v>14060000</v>
      </c>
      <c r="R3">
        <v>10850000</v>
      </c>
      <c r="S3">
        <v>12370000</v>
      </c>
      <c r="T3">
        <v>12600000</v>
      </c>
      <c r="U3">
        <v>12590000</v>
      </c>
      <c r="V3" s="1">
        <f>U3*(1-0.0113)</f>
        <v>12447733</v>
      </c>
      <c r="W3" s="1">
        <f>V3*(1-0.0113)</f>
        <v>12307073.6171</v>
      </c>
      <c r="X3" s="1">
        <f t="shared" ref="X3:AV3" si="0">W3*(1-0.0113)</f>
        <v>12168003.68522677</v>
      </c>
      <c r="Y3" s="1">
        <f t="shared" si="0"/>
        <v>12030505.243583707</v>
      </c>
      <c r="Z3" s="1">
        <f t="shared" si="0"/>
        <v>11894560.534331212</v>
      </c>
      <c r="AA3" s="1">
        <f t="shared" si="0"/>
        <v>11760152.00029327</v>
      </c>
      <c r="AB3" s="1">
        <f t="shared" si="0"/>
        <v>11627262.282689957</v>
      </c>
      <c r="AC3" s="1">
        <f t="shared" si="0"/>
        <v>11495874.21889556</v>
      </c>
      <c r="AD3" s="1">
        <f t="shared" si="0"/>
        <v>11365970.84022204</v>
      </c>
      <c r="AE3" s="1">
        <f t="shared" si="0"/>
        <v>11237535.369727531</v>
      </c>
      <c r="AF3" s="1">
        <f t="shared" si="0"/>
        <v>11110551.22004961</v>
      </c>
      <c r="AG3" s="1">
        <f t="shared" si="0"/>
        <v>10985001.991263051</v>
      </c>
      <c r="AH3" s="1">
        <f t="shared" si="0"/>
        <v>10860871.468761778</v>
      </c>
      <c r="AI3" s="1">
        <f t="shared" si="0"/>
        <v>10738143.621164769</v>
      </c>
      <c r="AJ3" s="1">
        <f t="shared" si="0"/>
        <v>10616802.598245608</v>
      </c>
      <c r="AK3" s="1">
        <f t="shared" si="0"/>
        <v>10496832.728885433</v>
      </c>
      <c r="AL3" s="1">
        <f t="shared" si="0"/>
        <v>10378218.519049028</v>
      </c>
      <c r="AM3" s="1">
        <f t="shared" si="0"/>
        <v>10260944.649783773</v>
      </c>
      <c r="AN3" s="1">
        <f t="shared" si="0"/>
        <v>10144995.975241218</v>
      </c>
      <c r="AO3" s="1">
        <f t="shared" si="0"/>
        <v>10030357.520720992</v>
      </c>
      <c r="AP3" s="1">
        <f t="shared" si="0"/>
        <v>9917014.4807368461</v>
      </c>
      <c r="AQ3" s="1">
        <f t="shared" si="0"/>
        <v>9804952.2171045206</v>
      </c>
      <c r="AR3" s="1">
        <f t="shared" si="0"/>
        <v>9694156.2570512407</v>
      </c>
      <c r="AS3" s="1">
        <f t="shared" si="0"/>
        <v>9584612.2913465612</v>
      </c>
      <c r="AT3" s="1">
        <f t="shared" si="0"/>
        <v>9476306.172454346</v>
      </c>
      <c r="AU3" s="1">
        <f t="shared" si="0"/>
        <v>9369223.9127056114</v>
      </c>
      <c r="AV3" s="1">
        <f t="shared" si="0"/>
        <v>9263351.6824920382</v>
      </c>
    </row>
    <row r="4" spans="2:48" x14ac:dyDescent="0.35">
      <c r="B4" s="2" t="s">
        <v>8</v>
      </c>
      <c r="D4">
        <f>(C3-D3)/C3</f>
        <v>8.6366440468846391E-3</v>
      </c>
      <c r="E4">
        <f>(D3-E3)/D3</f>
        <v>-2.1157436216552583E-2</v>
      </c>
      <c r="F4">
        <f t="shared" ref="F4:U4" si="1">(E3-F3)/E3</f>
        <v>4.3266301035953685E-2</v>
      </c>
      <c r="G4">
        <f t="shared" si="1"/>
        <v>2.6114649681528664E-2</v>
      </c>
      <c r="H4">
        <f t="shared" si="1"/>
        <v>-3.9241334205362979E-2</v>
      </c>
      <c r="I4">
        <f t="shared" si="1"/>
        <v>3.5871617369414729E-2</v>
      </c>
      <c r="J4">
        <f t="shared" si="1"/>
        <v>1.5013054830287207E-2</v>
      </c>
      <c r="K4">
        <f t="shared" si="1"/>
        <v>6.6269052352551359E-4</v>
      </c>
      <c r="L4">
        <f t="shared" si="1"/>
        <v>6.6312997347480109E-3</v>
      </c>
      <c r="M4">
        <f t="shared" si="1"/>
        <v>-2.0026702269692925E-2</v>
      </c>
      <c r="N4">
        <f t="shared" si="1"/>
        <v>-1.9633507853403141E-2</v>
      </c>
      <c r="O4">
        <f t="shared" si="1"/>
        <v>1.2836970474967907E-3</v>
      </c>
      <c r="P4">
        <f t="shared" si="1"/>
        <v>0.10411311053984576</v>
      </c>
      <c r="Q4">
        <f t="shared" si="1"/>
        <v>-8.60832137733142E-3</v>
      </c>
      <c r="R4">
        <f t="shared" si="1"/>
        <v>0.2283072546230441</v>
      </c>
      <c r="S4">
        <f t="shared" si="1"/>
        <v>-0.1400921658986175</v>
      </c>
      <c r="T4">
        <f t="shared" si="1"/>
        <v>-1.8593371059013743E-2</v>
      </c>
      <c r="U4">
        <f t="shared" si="1"/>
        <v>7.9365079365079365E-4</v>
      </c>
      <c r="V4" s="1">
        <v>1.1299999999999999E-2</v>
      </c>
      <c r="W4" s="1">
        <v>1.1299999999999999E-2</v>
      </c>
      <c r="X4" s="1">
        <v>1.1299999999999999E-2</v>
      </c>
      <c r="Y4" s="1">
        <v>1.1299999999999999E-2</v>
      </c>
      <c r="Z4" s="1">
        <v>1.1299999999999999E-2</v>
      </c>
      <c r="AA4" s="1">
        <v>1.1299999999999999E-2</v>
      </c>
      <c r="AB4" s="1">
        <v>1.1299999999999999E-2</v>
      </c>
      <c r="AC4" s="1">
        <v>1.1299999999999999E-2</v>
      </c>
      <c r="AD4" s="1">
        <v>1.1299999999999999E-2</v>
      </c>
      <c r="AE4" s="1">
        <v>1.1299999999999999E-2</v>
      </c>
      <c r="AF4" s="1">
        <v>1.1299999999999999E-2</v>
      </c>
      <c r="AG4" s="1">
        <v>1.1299999999999999E-2</v>
      </c>
      <c r="AH4" s="1">
        <v>1.1299999999999999E-2</v>
      </c>
      <c r="AI4" s="1">
        <v>1.1299999999999999E-2</v>
      </c>
      <c r="AJ4" s="1">
        <v>1.1299999999999999E-2</v>
      </c>
      <c r="AK4" s="1">
        <v>1.1299999999999999E-2</v>
      </c>
      <c r="AL4" s="1">
        <v>1.1299999999999999E-2</v>
      </c>
      <c r="AM4" s="1">
        <v>1.1299999999999999E-2</v>
      </c>
      <c r="AN4" s="1">
        <v>1.1299999999999999E-2</v>
      </c>
      <c r="AO4" s="1">
        <v>1.1299999999999999E-2</v>
      </c>
      <c r="AP4" s="1">
        <v>1.1299999999999999E-2</v>
      </c>
      <c r="AQ4" s="1">
        <v>1.1299999999999999E-2</v>
      </c>
      <c r="AR4" s="1">
        <v>1.1299999999999999E-2</v>
      </c>
      <c r="AS4" s="1">
        <v>1.1299999999999999E-2</v>
      </c>
      <c r="AT4" s="1">
        <v>1.1299999999999999E-2</v>
      </c>
      <c r="AU4" s="1">
        <v>1.1299999999999999E-2</v>
      </c>
      <c r="AV4" s="1">
        <v>1.1299999999999999E-2</v>
      </c>
    </row>
    <row r="5" spans="2:48" x14ac:dyDescent="0.35">
      <c r="B5" s="2" t="s">
        <v>5</v>
      </c>
      <c r="D5">
        <f>D8*16210000</f>
        <v>16010617</v>
      </c>
      <c r="E5">
        <f>E8*16210000</f>
        <v>15813686.4109</v>
      </c>
      <c r="F5">
        <f t="shared" ref="F5:AV5" si="2">F8*16210000</f>
        <v>15619178.068045931</v>
      </c>
      <c r="G5">
        <f t="shared" si="2"/>
        <v>15427062.177808966</v>
      </c>
      <c r="H5">
        <f t="shared" si="2"/>
        <v>15237309.313021919</v>
      </c>
      <c r="I5">
        <f t="shared" si="2"/>
        <v>15049890.408471748</v>
      </c>
      <c r="J5">
        <f t="shared" si="2"/>
        <v>14864776.756447546</v>
      </c>
      <c r="K5">
        <f t="shared" si="2"/>
        <v>14681940.002343243</v>
      </c>
      <c r="L5">
        <f t="shared" si="2"/>
        <v>14501352.140314421</v>
      </c>
      <c r="M5">
        <f t="shared" si="2"/>
        <v>14322985.508988556</v>
      </c>
      <c r="N5">
        <f t="shared" si="2"/>
        <v>14146812.787227996</v>
      </c>
      <c r="O5">
        <f t="shared" si="2"/>
        <v>13972806.989945091</v>
      </c>
      <c r="P5">
        <f t="shared" si="2"/>
        <v>13800941.463968769</v>
      </c>
      <c r="Q5">
        <f t="shared" si="2"/>
        <v>13631189.883961953</v>
      </c>
      <c r="R5">
        <f t="shared" si="2"/>
        <v>13463526.248389222</v>
      </c>
      <c r="S5">
        <f t="shared" si="2"/>
        <v>12789657.58</v>
      </c>
      <c r="T5">
        <f t="shared" si="2"/>
        <v>12157848.495548001</v>
      </c>
      <c r="U5">
        <f t="shared" si="2"/>
        <v>11557250.779867928</v>
      </c>
      <c r="V5">
        <f>V8*16210000</f>
        <v>10986322.591342455</v>
      </c>
      <c r="W5">
        <f t="shared" si="2"/>
        <v>10443598.255330136</v>
      </c>
      <c r="X5">
        <f t="shared" si="2"/>
        <v>9927684.5015168283</v>
      </c>
      <c r="Y5">
        <f t="shared" si="2"/>
        <v>9437256.8871418964</v>
      </c>
      <c r="Z5">
        <f t="shared" si="2"/>
        <v>8971056.396917088</v>
      </c>
      <c r="AA5">
        <f t="shared" si="2"/>
        <v>8527886.2109093834</v>
      </c>
      <c r="AB5">
        <f t="shared" si="2"/>
        <v>8106608.6320904605</v>
      </c>
      <c r="AC5">
        <f t="shared" si="2"/>
        <v>7741896</v>
      </c>
      <c r="AD5">
        <f t="shared" si="2"/>
        <v>7395059.0592</v>
      </c>
      <c r="AE5">
        <f t="shared" si="2"/>
        <v>7063760.4133478412</v>
      </c>
      <c r="AF5">
        <f t="shared" si="2"/>
        <v>6747303.9468298573</v>
      </c>
      <c r="AG5">
        <f t="shared" si="2"/>
        <v>6445024.7300118804</v>
      </c>
      <c r="AH5">
        <f t="shared" si="2"/>
        <v>6156287.6221073484</v>
      </c>
      <c r="AI5">
        <f t="shared" si="2"/>
        <v>5880485.9366369396</v>
      </c>
      <c r="AJ5">
        <f t="shared" si="2"/>
        <v>5617040.1666756049</v>
      </c>
      <c r="AK5">
        <f t="shared" si="2"/>
        <v>5365396.7672085371</v>
      </c>
      <c r="AL5">
        <f t="shared" si="2"/>
        <v>5125026.9920375952</v>
      </c>
      <c r="AM5">
        <f t="shared" si="2"/>
        <v>4895425.7827943116</v>
      </c>
      <c r="AN5">
        <f t="shared" si="2"/>
        <v>4676110.7077251263</v>
      </c>
      <c r="AO5">
        <f t="shared" si="2"/>
        <v>4466620.9480190407</v>
      </c>
      <c r="AP5">
        <f t="shared" si="2"/>
        <v>4266516.329547788</v>
      </c>
      <c r="AQ5">
        <f t="shared" si="2"/>
        <v>4075376.3979840474</v>
      </c>
      <c r="AR5">
        <f t="shared" si="2"/>
        <v>3892799.5353543619</v>
      </c>
      <c r="AS5">
        <f t="shared" si="2"/>
        <v>3718402.1161704869</v>
      </c>
      <c r="AT5">
        <f t="shared" si="2"/>
        <v>3551817.7013660488</v>
      </c>
      <c r="AU5">
        <f t="shared" si="2"/>
        <v>3392696.2683448503</v>
      </c>
      <c r="AV5">
        <f t="shared" si="2"/>
        <v>3240703.4755230006</v>
      </c>
    </row>
    <row r="6" spans="2:48" x14ac:dyDescent="0.35">
      <c r="B6" s="2" t="s">
        <v>3</v>
      </c>
      <c r="D6">
        <f>D5-D3</f>
        <v>-59383</v>
      </c>
      <c r="E6">
        <f t="shared" ref="E6:U6" si="3">E5-E3</f>
        <v>-596313.58909999952</v>
      </c>
      <c r="F6">
        <f t="shared" si="3"/>
        <v>-80821.931954069063</v>
      </c>
      <c r="G6">
        <f t="shared" si="3"/>
        <v>137062.17780896649</v>
      </c>
      <c r="H6">
        <f t="shared" si="3"/>
        <v>-652690.68697808124</v>
      </c>
      <c r="I6">
        <f t="shared" si="3"/>
        <v>-270109.59152825177</v>
      </c>
      <c r="J6">
        <f t="shared" si="3"/>
        <v>-225223.24355245382</v>
      </c>
      <c r="K6">
        <f t="shared" si="3"/>
        <v>-398059.99765675701</v>
      </c>
      <c r="L6">
        <f t="shared" si="3"/>
        <v>-478647.85968557931</v>
      </c>
      <c r="M6">
        <f t="shared" si="3"/>
        <v>-957014.49101144448</v>
      </c>
      <c r="N6">
        <f t="shared" si="3"/>
        <v>-1433187.2127720043</v>
      </c>
      <c r="O6">
        <f t="shared" si="3"/>
        <v>-1587193.0100549087</v>
      </c>
      <c r="P6">
        <f t="shared" si="3"/>
        <v>-139058.53603123128</v>
      </c>
      <c r="Q6">
        <f t="shared" si="3"/>
        <v>-428810.11603804678</v>
      </c>
      <c r="R6">
        <f t="shared" si="3"/>
        <v>2613526.2483892217</v>
      </c>
      <c r="S6">
        <f t="shared" si="3"/>
        <v>419657.58000000007</v>
      </c>
      <c r="T6">
        <f t="shared" si="3"/>
        <v>-442151.50445199944</v>
      </c>
      <c r="U6">
        <f t="shared" si="3"/>
        <v>-1032749.2201320715</v>
      </c>
      <c r="V6" s="5">
        <f>V5-V3</f>
        <v>-1461410.4086575452</v>
      </c>
      <c r="W6">
        <f t="shared" ref="W6" si="4">W5-W3</f>
        <v>-1863475.3617698643</v>
      </c>
      <c r="X6">
        <f t="shared" ref="X6" si="5">X5-X3</f>
        <v>-2240319.1837099418</v>
      </c>
      <c r="Y6">
        <f t="shared" ref="Y6" si="6">Y5-Y3</f>
        <v>-2593248.3564418107</v>
      </c>
      <c r="Z6">
        <f t="shared" ref="Z6" si="7">Z5-Z3</f>
        <v>-2923504.1374141239</v>
      </c>
      <c r="AA6">
        <f t="shared" ref="AA6" si="8">AA5-AA3</f>
        <v>-3232265.7893838864</v>
      </c>
      <c r="AB6">
        <f t="shared" ref="AB6" si="9">AB5-AB3</f>
        <v>-3520653.6505994964</v>
      </c>
      <c r="AC6">
        <f t="shared" ref="AC6" si="10">AC5-AC3</f>
        <v>-3753978.2188955601</v>
      </c>
      <c r="AD6">
        <f t="shared" ref="AD6" si="11">AD5-AD3</f>
        <v>-3970911.7810220402</v>
      </c>
      <c r="AE6">
        <f t="shared" ref="AE6" si="12">AE5-AE3</f>
        <v>-4173774.9563796902</v>
      </c>
      <c r="AF6">
        <f t="shared" ref="AF6" si="13">AF5-AF3</f>
        <v>-4363247.2732197531</v>
      </c>
      <c r="AG6">
        <f t="shared" ref="AG6" si="14">AG5-AG3</f>
        <v>-4539977.2612511702</v>
      </c>
      <c r="AH6">
        <f t="shared" ref="AH6" si="15">AH5-AH3</f>
        <v>-4704583.8466544291</v>
      </c>
      <c r="AI6">
        <f t="shared" ref="AI6" si="16">AI5-AI3</f>
        <v>-4857657.6845278293</v>
      </c>
      <c r="AJ6">
        <f t="shared" ref="AJ6" si="17">AJ5-AJ3</f>
        <v>-4999762.4315700028</v>
      </c>
      <c r="AK6">
        <f t="shared" ref="AK6" si="18">AK5-AK3</f>
        <v>-5131435.9616768956</v>
      </c>
      <c r="AL6">
        <f t="shared" ref="AL6" si="19">AL5-AL3</f>
        <v>-5253191.5270114327</v>
      </c>
      <c r="AM6">
        <f t="shared" ref="AM6" si="20">AM5-AM3</f>
        <v>-5365518.8669894617</v>
      </c>
      <c r="AN6">
        <f t="shared" ref="AN6" si="21">AN5-AN3</f>
        <v>-5468885.2675160915</v>
      </c>
      <c r="AO6">
        <f t="shared" ref="AO6" si="22">AO5-AO3</f>
        <v>-5563736.5727019515</v>
      </c>
      <c r="AP6">
        <f t="shared" ref="AP6" si="23">AP5-AP3</f>
        <v>-5650498.1511890581</v>
      </c>
      <c r="AQ6">
        <f t="shared" ref="AQ6" si="24">AQ5-AQ3</f>
        <v>-5729575.8191204732</v>
      </c>
      <c r="AR6">
        <f t="shared" ref="AR6" si="25">AR5-AR3</f>
        <v>-5801356.7216968788</v>
      </c>
      <c r="AS6">
        <f t="shared" ref="AS6" si="26">AS5-AS3</f>
        <v>-5866210.1751760747</v>
      </c>
      <c r="AT6">
        <f t="shared" ref="AT6" si="27">AT5-AT3</f>
        <v>-5924488.4710882977</v>
      </c>
      <c r="AU6">
        <f t="shared" ref="AU6" si="28">AU5-AU3</f>
        <v>-5976527.6443607612</v>
      </c>
      <c r="AV6">
        <f t="shared" ref="AV6" si="29">AV5-AV3</f>
        <v>-6022648.2069690377</v>
      </c>
    </row>
    <row r="7" spans="2:48" x14ac:dyDescent="0.35">
      <c r="B7" s="2" t="s">
        <v>2</v>
      </c>
      <c r="D7">
        <f>ABS(D5-D3)</f>
        <v>59383</v>
      </c>
      <c r="E7">
        <f t="shared" ref="E7:AV7" si="30">ABS(E5-E3)</f>
        <v>596313.58909999952</v>
      </c>
      <c r="F7">
        <f t="shared" si="30"/>
        <v>80821.931954069063</v>
      </c>
      <c r="G7">
        <f t="shared" si="30"/>
        <v>137062.17780896649</v>
      </c>
      <c r="H7">
        <f t="shared" si="30"/>
        <v>652690.68697808124</v>
      </c>
      <c r="I7">
        <f t="shared" si="30"/>
        <v>270109.59152825177</v>
      </c>
      <c r="J7">
        <f t="shared" si="30"/>
        <v>225223.24355245382</v>
      </c>
      <c r="K7">
        <f t="shared" si="30"/>
        <v>398059.99765675701</v>
      </c>
      <c r="L7">
        <f t="shared" si="30"/>
        <v>478647.85968557931</v>
      </c>
      <c r="M7">
        <f t="shared" si="30"/>
        <v>957014.49101144448</v>
      </c>
      <c r="N7">
        <f t="shared" si="30"/>
        <v>1433187.2127720043</v>
      </c>
      <c r="O7">
        <f t="shared" si="30"/>
        <v>1587193.0100549087</v>
      </c>
      <c r="P7">
        <f t="shared" si="30"/>
        <v>139058.53603123128</v>
      </c>
      <c r="Q7">
        <f t="shared" si="30"/>
        <v>428810.11603804678</v>
      </c>
      <c r="R7">
        <f t="shared" si="30"/>
        <v>2613526.2483892217</v>
      </c>
      <c r="S7">
        <f t="shared" si="30"/>
        <v>419657.58000000007</v>
      </c>
      <c r="T7">
        <f t="shared" si="30"/>
        <v>442151.50445199944</v>
      </c>
      <c r="U7">
        <f t="shared" si="30"/>
        <v>1032749.2201320715</v>
      </c>
      <c r="V7">
        <f>ABS(V5-V3)</f>
        <v>1461410.4086575452</v>
      </c>
      <c r="W7">
        <f t="shared" si="30"/>
        <v>1863475.3617698643</v>
      </c>
      <c r="X7">
        <f t="shared" si="30"/>
        <v>2240319.1837099418</v>
      </c>
      <c r="Y7">
        <f t="shared" si="30"/>
        <v>2593248.3564418107</v>
      </c>
      <c r="Z7">
        <f t="shared" si="30"/>
        <v>2923504.1374141239</v>
      </c>
      <c r="AA7">
        <f t="shared" si="30"/>
        <v>3232265.7893838864</v>
      </c>
      <c r="AB7">
        <f t="shared" si="30"/>
        <v>3520653.6505994964</v>
      </c>
      <c r="AC7">
        <f t="shared" si="30"/>
        <v>3753978.2188955601</v>
      </c>
      <c r="AD7">
        <f t="shared" si="30"/>
        <v>3970911.7810220402</v>
      </c>
      <c r="AE7">
        <f t="shared" si="30"/>
        <v>4173774.9563796902</v>
      </c>
      <c r="AF7">
        <f t="shared" si="30"/>
        <v>4363247.2732197531</v>
      </c>
      <c r="AG7">
        <f t="shared" si="30"/>
        <v>4539977.2612511702</v>
      </c>
      <c r="AH7">
        <f t="shared" si="30"/>
        <v>4704583.8466544291</v>
      </c>
      <c r="AI7">
        <f t="shared" si="30"/>
        <v>4857657.6845278293</v>
      </c>
      <c r="AJ7">
        <f t="shared" si="30"/>
        <v>4999762.4315700028</v>
      </c>
      <c r="AK7">
        <f t="shared" si="30"/>
        <v>5131435.9616768956</v>
      </c>
      <c r="AL7">
        <f t="shared" si="30"/>
        <v>5253191.5270114327</v>
      </c>
      <c r="AM7">
        <f t="shared" si="30"/>
        <v>5365518.8669894617</v>
      </c>
      <c r="AN7">
        <f t="shared" si="30"/>
        <v>5468885.2675160915</v>
      </c>
      <c r="AO7">
        <f t="shared" si="30"/>
        <v>5563736.5727019515</v>
      </c>
      <c r="AP7">
        <f t="shared" si="30"/>
        <v>5650498.1511890581</v>
      </c>
      <c r="AQ7">
        <f t="shared" si="30"/>
        <v>5729575.8191204732</v>
      </c>
      <c r="AR7">
        <f t="shared" si="30"/>
        <v>5801356.7216968788</v>
      </c>
      <c r="AS7">
        <f t="shared" si="30"/>
        <v>5866210.1751760747</v>
      </c>
      <c r="AT7">
        <f t="shared" si="30"/>
        <v>5924488.4710882977</v>
      </c>
      <c r="AU7">
        <f t="shared" si="30"/>
        <v>5976527.6443607612</v>
      </c>
      <c r="AV7">
        <f t="shared" si="30"/>
        <v>6022648.2069690377</v>
      </c>
    </row>
    <row r="8" spans="2:48" x14ac:dyDescent="0.35">
      <c r="B8" s="2" t="s">
        <v>4</v>
      </c>
      <c r="D8">
        <f>(1-0.0123)^1</f>
        <v>0.98770000000000002</v>
      </c>
      <c r="E8">
        <f>(1-0.0123)^2</f>
        <v>0.97555129000000007</v>
      </c>
      <c r="F8">
        <f>(1-0.0123)^3</f>
        <v>0.9635520091330001</v>
      </c>
      <c r="G8">
        <f>(1-0.0123)^4</f>
        <v>0.95170031942066424</v>
      </c>
      <c r="H8">
        <f>(1-0.0123)^5</f>
        <v>0.93999440549179014</v>
      </c>
      <c r="I8">
        <f>(1-0.0123)^6</f>
        <v>0.92843247430424114</v>
      </c>
      <c r="J8">
        <f>(1-0.0123)^7</f>
        <v>0.91701275487029899</v>
      </c>
      <c r="K8">
        <f>(1-0.0123)^8</f>
        <v>0.90573349798539438</v>
      </c>
      <c r="L8">
        <f>(1-0.0123)^9</f>
        <v>0.89459297596017406</v>
      </c>
      <c r="M8">
        <f>(1-0.0123)^10</f>
        <v>0.88358948235586399</v>
      </c>
      <c r="N8">
        <f>(1-0.0123)^11</f>
        <v>0.8727213317228868</v>
      </c>
      <c r="O8">
        <f>(1-0.0123)^12</f>
        <v>0.86198685934269537</v>
      </c>
      <c r="P8">
        <f>(1-0.0123)^13</f>
        <v>0.85138442097278033</v>
      </c>
      <c r="Q8">
        <f>(1-0.0123)^14</f>
        <v>0.84091239259481509</v>
      </c>
      <c r="R8">
        <f>(1-0.0123)^15</f>
        <v>0.83056917016589893</v>
      </c>
      <c r="S8">
        <f>0.83*(1-0.0494)</f>
        <v>0.78899799999999998</v>
      </c>
      <c r="T8">
        <f>0.83*(1-0.0494)^2</f>
        <v>0.75002149880000002</v>
      </c>
      <c r="U8">
        <f>0.83*(1-0.0494)^3</f>
        <v>0.71297043675927996</v>
      </c>
      <c r="V8" s="1">
        <f>0.83*(1-0.0494)^4</f>
        <v>0.67774969718337164</v>
      </c>
      <c r="W8" s="1">
        <f>0.83*(1-0.0494)^5</f>
        <v>0.644268862142513</v>
      </c>
      <c r="X8" s="1">
        <f>0.83*(1-0.0494)^6</f>
        <v>0.61244198035267294</v>
      </c>
      <c r="Y8" s="1">
        <f>0.83*(1-0.0494)^7</f>
        <v>0.58218734652325088</v>
      </c>
      <c r="Z8" s="1">
        <f>0.83*(1-0.0494)^8</f>
        <v>0.55342729160500237</v>
      </c>
      <c r="AA8" s="1">
        <f>0.83*(1-0.0494)^9</f>
        <v>0.52608798339971519</v>
      </c>
      <c r="AB8" s="1">
        <f>0.83*(1-0.0494)^10</f>
        <v>0.50009923701976933</v>
      </c>
      <c r="AC8" s="1">
        <f>0.5*(1-0.0448)^1</f>
        <v>0.47760000000000002</v>
      </c>
      <c r="AD8" s="1">
        <f>0.5*(1-0.0448)^2</f>
        <v>0.45620352000000003</v>
      </c>
      <c r="AE8" s="1">
        <f>0.5*(1-0.0448)^3</f>
        <v>0.43576560230400008</v>
      </c>
      <c r="AF8" s="1">
        <f>0.5*(1-0.0448)^4</f>
        <v>0.41624330332078086</v>
      </c>
      <c r="AG8" s="1">
        <f>0.5*(1-0.0448)^5</f>
        <v>0.39759560333200988</v>
      </c>
      <c r="AH8" s="1">
        <f>0.5*(1-0.0448)^6</f>
        <v>0.37978332030273587</v>
      </c>
      <c r="AI8" s="1">
        <f>0.5*(1-0.0448)^7</f>
        <v>0.36276902755317331</v>
      </c>
      <c r="AJ8" s="1">
        <f>0.5*(1-0.0448)^8</f>
        <v>0.34651697511879115</v>
      </c>
      <c r="AK8" s="1">
        <f>0.5*(1-0.0448)^9</f>
        <v>0.33099301463346931</v>
      </c>
      <c r="AL8" s="1">
        <f>0.5*(1-0.0448)^10</f>
        <v>0.31616452757788988</v>
      </c>
      <c r="AM8" s="1">
        <f>0.5*(1-0.0448)^11</f>
        <v>0.30200035674240044</v>
      </c>
      <c r="AN8" s="1">
        <f>0.5*(1-0.0448)^12</f>
        <v>0.2884707407603409</v>
      </c>
      <c r="AO8" s="1">
        <f>0.5*(1-0.0448)^13</f>
        <v>0.27554725157427767</v>
      </c>
      <c r="AP8" s="1">
        <f>0.5*(1-0.0448)^14</f>
        <v>0.26320273470375005</v>
      </c>
      <c r="AQ8" s="1">
        <f>0.5*(1-0.0448)^15</f>
        <v>0.25141125218902205</v>
      </c>
      <c r="AR8" s="1">
        <f>0.5*(1-0.0448)^16</f>
        <v>0.24014802809095384</v>
      </c>
      <c r="AS8" s="1">
        <f>0.5*(1-0.0448)^17</f>
        <v>0.22938939643247913</v>
      </c>
      <c r="AT8" s="1">
        <f>0.5*(1-0.0448)^18</f>
        <v>0.21911275147230405</v>
      </c>
      <c r="AU8" s="1">
        <f>0.5*(1-0.0448)^19</f>
        <v>0.20929650020634485</v>
      </c>
      <c r="AV8" s="1">
        <f>0.5*(1-0.0448)^20</f>
        <v>0.1999200169971006</v>
      </c>
    </row>
    <row r="9" spans="2:48" x14ac:dyDescent="0.35">
      <c r="B9" s="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2:48" x14ac:dyDescent="0.35">
      <c r="B10" s="2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4" spans="2:48" ht="14.5" customHeight="1" x14ac:dyDescent="0.35">
      <c r="B14" s="9" t="s">
        <v>13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4" t="s">
        <v>9</v>
      </c>
      <c r="T14">
        <f>AVERAGE(D4:U4)</f>
        <v>1.1296729519244757E-2</v>
      </c>
    </row>
    <row r="15" spans="2:48" x14ac:dyDescent="0.3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2:48" x14ac:dyDescent="0.35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2:48" x14ac:dyDescent="0.35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2:48" x14ac:dyDescent="0.3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2:48" x14ac:dyDescent="0.3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2:48" x14ac:dyDescent="0.3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2:48" x14ac:dyDescent="0.3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2:48" x14ac:dyDescent="0.35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2:48" x14ac:dyDescent="0.35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2:48" x14ac:dyDescent="0.35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7" spans="2:48" x14ac:dyDescent="0.35">
      <c r="B27" s="2" t="s">
        <v>1</v>
      </c>
      <c r="C27">
        <v>16210000</v>
      </c>
      <c r="D27">
        <v>16070000</v>
      </c>
      <c r="E27">
        <v>16410000</v>
      </c>
      <c r="F27">
        <v>15700000</v>
      </c>
      <c r="G27">
        <v>15290000</v>
      </c>
      <c r="H27">
        <v>15890000</v>
      </c>
      <c r="I27">
        <v>15320000</v>
      </c>
      <c r="J27">
        <v>15090000</v>
      </c>
      <c r="K27">
        <v>15080000</v>
      </c>
      <c r="L27">
        <v>14980000</v>
      </c>
      <c r="M27">
        <v>15280000</v>
      </c>
      <c r="N27">
        <v>15580000</v>
      </c>
      <c r="O27">
        <v>15560000</v>
      </c>
      <c r="P27">
        <v>13940000</v>
      </c>
      <c r="Q27">
        <v>14060000</v>
      </c>
      <c r="R27">
        <v>10850000</v>
      </c>
      <c r="S27">
        <v>12370000</v>
      </c>
      <c r="T27">
        <v>12600000</v>
      </c>
      <c r="U27">
        <v>12590000</v>
      </c>
      <c r="V27" s="1">
        <f>U27*(1-0.0113)</f>
        <v>12447733</v>
      </c>
      <c r="W27" s="1">
        <f>V27*(1-0.0113)</f>
        <v>12307073.6171</v>
      </c>
      <c r="X27" s="1">
        <f t="shared" ref="X27" si="31">W27*(1-0.0113)</f>
        <v>12168003.68522677</v>
      </c>
      <c r="Y27" s="1">
        <f t="shared" ref="Y27" si="32">X27*(1-0.0113)</f>
        <v>12030505.243583707</v>
      </c>
      <c r="Z27" s="1">
        <f t="shared" ref="Z27" si="33">Y27*(1-0.0113)</f>
        <v>11894560.534331212</v>
      </c>
      <c r="AA27" s="1">
        <f t="shared" ref="AA27" si="34">Z27*(1-0.0113)</f>
        <v>11760152.00029327</v>
      </c>
      <c r="AB27" s="1">
        <f t="shared" ref="AB27" si="35">AA27*(1-0.0113)</f>
        <v>11627262.282689957</v>
      </c>
      <c r="AC27" s="1">
        <f t="shared" ref="AC27" si="36">AB27*(1-0.0113)</f>
        <v>11495874.21889556</v>
      </c>
      <c r="AD27" s="1">
        <f t="shared" ref="AD27" si="37">AC27*(1-0.0113)</f>
        <v>11365970.84022204</v>
      </c>
      <c r="AE27" s="1">
        <f t="shared" ref="AE27" si="38">AD27*(1-0.0113)</f>
        <v>11237535.369727531</v>
      </c>
      <c r="AF27" s="1">
        <f t="shared" ref="AF27" si="39">AE27*(1-0.0113)</f>
        <v>11110551.22004961</v>
      </c>
      <c r="AG27" s="1">
        <f t="shared" ref="AG27" si="40">AF27*(1-0.0113)</f>
        <v>10985001.991263051</v>
      </c>
      <c r="AH27" s="1">
        <f t="shared" ref="AH27" si="41">AG27*(1-0.0113)</f>
        <v>10860871.468761778</v>
      </c>
      <c r="AI27" s="1">
        <f t="shared" ref="AI27" si="42">AH27*(1-0.0113)</f>
        <v>10738143.621164769</v>
      </c>
      <c r="AJ27" s="1">
        <f t="shared" ref="AJ27" si="43">AI27*(1-0.0113)</f>
        <v>10616802.598245608</v>
      </c>
      <c r="AK27" s="1">
        <f t="shared" ref="AK27" si="44">AJ27*(1-0.0113)</f>
        <v>10496832.728885433</v>
      </c>
      <c r="AL27" s="1">
        <f t="shared" ref="AL27" si="45">AK27*(1-0.0113)</f>
        <v>10378218.519049028</v>
      </c>
      <c r="AM27" s="1">
        <f t="shared" ref="AM27" si="46">AL27*(1-0.0113)</f>
        <v>10260944.649783773</v>
      </c>
      <c r="AN27" s="1">
        <f t="shared" ref="AN27" si="47">AM27*(1-0.0113)</f>
        <v>10144995.975241218</v>
      </c>
      <c r="AO27" s="1">
        <f t="shared" ref="AO27" si="48">AN27*(1-0.0113)</f>
        <v>10030357.520720992</v>
      </c>
      <c r="AP27" s="1">
        <f t="shared" ref="AP27" si="49">AO27*(1-0.0113)</f>
        <v>9917014.4807368461</v>
      </c>
      <c r="AQ27" s="1">
        <f t="shared" ref="AQ27" si="50">AP27*(1-0.0113)</f>
        <v>9804952.2171045206</v>
      </c>
      <c r="AR27" s="1">
        <f t="shared" ref="AR27" si="51">AQ27*(1-0.0113)</f>
        <v>9694156.2570512407</v>
      </c>
      <c r="AS27" s="1">
        <f t="shared" ref="AS27" si="52">AR27*(1-0.0113)</f>
        <v>9584612.2913465612</v>
      </c>
      <c r="AT27" s="1">
        <f t="shared" ref="AT27" si="53">AS27*(1-0.0113)</f>
        <v>9476306.172454346</v>
      </c>
      <c r="AU27" s="1">
        <f t="shared" ref="AU27" si="54">AT27*(1-0.0113)</f>
        <v>9369223.9127056114</v>
      </c>
      <c r="AV27" s="1">
        <f t="shared" ref="AV27" si="55">AU27*(1-0.0113)</f>
        <v>9263351.6824920382</v>
      </c>
    </row>
    <row r="28" spans="2:48" x14ac:dyDescent="0.35">
      <c r="C28" s="6">
        <v>1.23E-2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>
        <v>4.9399999999999999E-2</v>
      </c>
      <c r="T28" s="7"/>
      <c r="U28" s="7"/>
      <c r="V28" s="7"/>
      <c r="W28" s="7"/>
      <c r="X28" s="7"/>
      <c r="Y28" s="7"/>
      <c r="Z28" s="7"/>
      <c r="AA28" s="7"/>
      <c r="AB28" s="7"/>
      <c r="AC28" s="7">
        <v>4.9399999999999999E-2</v>
      </c>
      <c r="AD28" s="7"/>
      <c r="AE28" s="7"/>
      <c r="AF28" s="7"/>
      <c r="AG28" s="7"/>
      <c r="AH28" s="7"/>
      <c r="AI28" s="7"/>
      <c r="AJ28" s="7"/>
      <c r="AK28" s="7"/>
      <c r="AL28" s="7"/>
      <c r="AM28" s="7">
        <v>1.0494000000000001</v>
      </c>
      <c r="AN28" s="7"/>
      <c r="AO28" s="7"/>
      <c r="AP28" s="7"/>
      <c r="AQ28" s="7"/>
      <c r="AR28" s="7"/>
      <c r="AS28" s="7"/>
      <c r="AT28" s="7"/>
      <c r="AU28" s="7"/>
      <c r="AV28" s="7"/>
    </row>
  </sheetData>
  <mergeCells count="8">
    <mergeCell ref="C1:R1"/>
    <mergeCell ref="S1:AB1"/>
    <mergeCell ref="AC1:AV1"/>
    <mergeCell ref="B14:R24"/>
    <mergeCell ref="C28:R28"/>
    <mergeCell ref="S28:AB28"/>
    <mergeCell ref="AC28:AL28"/>
    <mergeCell ref="AM28:AV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86DC-633B-7640-A6FF-1530A28E1865}">
  <dimension ref="B1:AV25"/>
  <sheetViews>
    <sheetView workbookViewId="0">
      <selection activeCell="B15" sqref="B15:R25"/>
    </sheetView>
  </sheetViews>
  <sheetFormatPr defaultColWidth="8.81640625" defaultRowHeight="14.5" x14ac:dyDescent="0.35"/>
  <cols>
    <col min="2" max="2" width="19.81640625" style="4" customWidth="1"/>
    <col min="22" max="22" width="13.81640625" bestFit="1" customWidth="1"/>
    <col min="23" max="24" width="11.81640625" bestFit="1" customWidth="1"/>
    <col min="25" max="32" width="11.6328125" bestFit="1" customWidth="1"/>
    <col min="33" max="34" width="11.6328125" customWidth="1"/>
    <col min="35" max="35" width="11.6328125" bestFit="1" customWidth="1"/>
    <col min="36" max="42" width="13.1796875" bestFit="1" customWidth="1"/>
    <col min="43" max="43" width="12.1796875" bestFit="1" customWidth="1"/>
    <col min="44" max="46" width="11.6328125" bestFit="1" customWidth="1"/>
    <col min="47" max="47" width="11.6328125" customWidth="1"/>
    <col min="48" max="48" width="13.36328125" customWidth="1"/>
  </cols>
  <sheetData>
    <row r="1" spans="2:48" ht="29" x14ac:dyDescent="0.35">
      <c r="B1" s="3" t="s">
        <v>6</v>
      </c>
      <c r="C1" s="6">
        <v>1.23E-2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>
        <v>4.9399999999999999E-2</v>
      </c>
      <c r="T1" s="7"/>
      <c r="U1" s="7"/>
      <c r="V1" s="7"/>
      <c r="W1" s="7"/>
      <c r="X1" s="7"/>
      <c r="Y1" s="7"/>
      <c r="Z1" s="7"/>
      <c r="AA1" s="7"/>
      <c r="AB1" s="7"/>
      <c r="AC1" s="8">
        <v>4.48E-2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spans="2:48" x14ac:dyDescent="0.35">
      <c r="B2" s="3" t="s">
        <v>0</v>
      </c>
      <c r="C2">
        <v>2005</v>
      </c>
      <c r="D2">
        <v>2006</v>
      </c>
      <c r="E2">
        <v>2007</v>
      </c>
      <c r="F2">
        <v>2008</v>
      </c>
      <c r="G2">
        <v>2009</v>
      </c>
      <c r="H2">
        <v>2010</v>
      </c>
      <c r="I2">
        <v>2011</v>
      </c>
      <c r="J2">
        <v>2012</v>
      </c>
      <c r="K2">
        <v>2013</v>
      </c>
      <c r="L2">
        <v>2014</v>
      </c>
      <c r="M2">
        <v>2015</v>
      </c>
      <c r="N2">
        <v>2016</v>
      </c>
      <c r="O2">
        <v>2017</v>
      </c>
      <c r="P2">
        <v>2018</v>
      </c>
      <c r="Q2">
        <v>2019</v>
      </c>
      <c r="R2">
        <v>2020</v>
      </c>
      <c r="S2">
        <v>2021</v>
      </c>
      <c r="T2">
        <v>2022</v>
      </c>
      <c r="U2">
        <v>2023</v>
      </c>
      <c r="V2" s="1">
        <v>2024</v>
      </c>
      <c r="W2" s="1">
        <v>2025</v>
      </c>
      <c r="X2" s="1">
        <v>2026</v>
      </c>
      <c r="Y2" s="1">
        <v>2027</v>
      </c>
      <c r="Z2" s="1">
        <v>2028</v>
      </c>
      <c r="AA2" s="1">
        <v>2029</v>
      </c>
      <c r="AB2" s="1">
        <v>2030</v>
      </c>
      <c r="AC2" s="1">
        <v>2031</v>
      </c>
      <c r="AD2" s="1">
        <v>2032</v>
      </c>
      <c r="AE2" s="1">
        <v>2033</v>
      </c>
      <c r="AF2" s="1">
        <v>2034</v>
      </c>
      <c r="AG2" s="1">
        <v>2035</v>
      </c>
      <c r="AH2" s="1">
        <v>2036</v>
      </c>
      <c r="AI2" s="1">
        <v>2037</v>
      </c>
      <c r="AJ2" s="1">
        <v>2038</v>
      </c>
      <c r="AK2" s="1">
        <v>2039</v>
      </c>
      <c r="AL2" s="1">
        <v>2040</v>
      </c>
      <c r="AM2" s="1">
        <v>2041</v>
      </c>
      <c r="AN2" s="1">
        <v>2042</v>
      </c>
      <c r="AO2" s="1">
        <v>2043</v>
      </c>
      <c r="AP2" s="1">
        <v>2044</v>
      </c>
      <c r="AQ2" s="1">
        <v>2045</v>
      </c>
      <c r="AR2" s="1">
        <v>2046</v>
      </c>
      <c r="AS2" s="1">
        <v>2047</v>
      </c>
      <c r="AT2" s="1">
        <v>2048</v>
      </c>
      <c r="AU2" s="1">
        <v>2049</v>
      </c>
      <c r="AV2" s="1">
        <v>2050</v>
      </c>
    </row>
    <row r="3" spans="2:48" x14ac:dyDescent="0.35">
      <c r="B3" s="3" t="s">
        <v>7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2:48" ht="29" x14ac:dyDescent="0.35">
      <c r="B4" s="3" t="s">
        <v>1</v>
      </c>
      <c r="C4">
        <v>16210000</v>
      </c>
      <c r="D4">
        <v>16088700</v>
      </c>
      <c r="E4">
        <v>15963600</v>
      </c>
      <c r="F4">
        <v>15833900</v>
      </c>
      <c r="G4">
        <v>15698500</v>
      </c>
      <c r="H4">
        <v>15556800</v>
      </c>
      <c r="I4">
        <v>15407800</v>
      </c>
      <c r="J4">
        <v>15250500</v>
      </c>
      <c r="K4">
        <v>15084100</v>
      </c>
      <c r="L4">
        <v>14907600</v>
      </c>
      <c r="M4">
        <v>14720000</v>
      </c>
      <c r="N4">
        <v>14546400</v>
      </c>
      <c r="O4">
        <v>14400600</v>
      </c>
      <c r="P4">
        <v>14257500</v>
      </c>
      <c r="Q4">
        <v>14108800</v>
      </c>
      <c r="R4">
        <v>13951300</v>
      </c>
      <c r="S4">
        <v>13783600</v>
      </c>
      <c r="T4">
        <v>13604800</v>
      </c>
      <c r="U4">
        <v>13414200</v>
      </c>
      <c r="V4">
        <v>13211100</v>
      </c>
      <c r="W4">
        <v>12994900</v>
      </c>
      <c r="X4">
        <v>12764800</v>
      </c>
      <c r="Y4">
        <v>12520200</v>
      </c>
      <c r="Z4">
        <v>12260500</v>
      </c>
      <c r="AA4">
        <v>11985200</v>
      </c>
      <c r="AB4">
        <v>11693700</v>
      </c>
      <c r="AC4">
        <v>11385500</v>
      </c>
      <c r="AD4">
        <v>11060100</v>
      </c>
      <c r="AE4">
        <v>10716900</v>
      </c>
      <c r="AF4">
        <v>10355500</v>
      </c>
      <c r="AG4">
        <v>9975340</v>
      </c>
      <c r="AH4">
        <v>9575890</v>
      </c>
      <c r="AI4">
        <v>9156670</v>
      </c>
      <c r="AJ4">
        <v>8717210</v>
      </c>
      <c r="AK4">
        <v>8257010</v>
      </c>
      <c r="AL4">
        <v>7775600</v>
      </c>
      <c r="AM4">
        <v>7272520</v>
      </c>
      <c r="AN4">
        <v>6747300</v>
      </c>
      <c r="AO4">
        <v>6199500</v>
      </c>
      <c r="AP4">
        <v>5628660</v>
      </c>
      <c r="AQ4">
        <v>5034360</v>
      </c>
      <c r="AR4">
        <v>4416160</v>
      </c>
      <c r="AS4">
        <v>3773630</v>
      </c>
      <c r="AT4">
        <v>3106370</v>
      </c>
      <c r="AU4">
        <v>2413970</v>
      </c>
      <c r="AV4">
        <v>1696140</v>
      </c>
    </row>
    <row r="5" spans="2:48" ht="29" x14ac:dyDescent="0.35">
      <c r="B5" s="3" t="s">
        <v>8</v>
      </c>
      <c r="D5">
        <v>1.23E-2</v>
      </c>
      <c r="E5">
        <v>1.23E-2</v>
      </c>
      <c r="F5">
        <v>1.23E-2</v>
      </c>
      <c r="G5">
        <v>1.23E-2</v>
      </c>
      <c r="H5">
        <v>1.23E-2</v>
      </c>
      <c r="I5">
        <v>1.23E-2</v>
      </c>
      <c r="J5">
        <v>1.23E-2</v>
      </c>
      <c r="K5">
        <v>1.23E-2</v>
      </c>
      <c r="L5">
        <v>1.23E-2</v>
      </c>
      <c r="M5">
        <v>1.23E-2</v>
      </c>
      <c r="N5">
        <v>1.23E-2</v>
      </c>
      <c r="O5">
        <v>1.23E-2</v>
      </c>
      <c r="P5">
        <v>1.23E-2</v>
      </c>
      <c r="Q5">
        <v>1.23E-2</v>
      </c>
      <c r="R5">
        <v>1.23E-2</v>
      </c>
      <c r="S5">
        <f>(R4-S4)/R4</f>
        <v>1.2020385197078409E-2</v>
      </c>
      <c r="T5">
        <f t="shared" ref="T5:U5" si="0">(S4-T4)/S4</f>
        <v>1.297193766505122E-2</v>
      </c>
      <c r="U5">
        <f t="shared" si="0"/>
        <v>1.4009761260731507E-2</v>
      </c>
      <c r="V5" s="1">
        <v>4.9399999999999999E-2</v>
      </c>
      <c r="W5" s="1">
        <v>4.9399999999999999E-2</v>
      </c>
      <c r="X5" s="1">
        <v>4.9399999999999999E-2</v>
      </c>
      <c r="Y5" s="1">
        <v>4.9399999999999999E-2</v>
      </c>
      <c r="Z5" s="1">
        <v>4.9399999999999999E-2</v>
      </c>
      <c r="AA5" s="1">
        <v>4.9399999999999999E-2</v>
      </c>
      <c r="AB5" s="1">
        <v>4.9399999999999999E-2</v>
      </c>
      <c r="AC5" s="1">
        <v>4.48E-2</v>
      </c>
      <c r="AD5" s="1">
        <v>4.48E-2</v>
      </c>
      <c r="AE5" s="1">
        <v>4.48E-2</v>
      </c>
      <c r="AF5" s="1">
        <v>4.48E-2</v>
      </c>
      <c r="AG5" s="1">
        <v>4.48E-2</v>
      </c>
      <c r="AH5" s="1">
        <v>4.48E-2</v>
      </c>
      <c r="AI5" s="1">
        <v>4.48E-2</v>
      </c>
      <c r="AJ5" s="1">
        <v>4.48E-2</v>
      </c>
      <c r="AK5" s="1">
        <v>4.48E-2</v>
      </c>
      <c r="AL5" s="1">
        <v>4.48E-2</v>
      </c>
      <c r="AM5" s="1">
        <v>4.48E-2</v>
      </c>
      <c r="AN5" s="1">
        <v>4.48E-2</v>
      </c>
      <c r="AO5" s="1">
        <v>4.48E-2</v>
      </c>
      <c r="AP5" s="1">
        <v>4.48E-2</v>
      </c>
      <c r="AQ5" s="1">
        <v>4.48E-2</v>
      </c>
      <c r="AR5" s="1">
        <v>4.48E-2</v>
      </c>
      <c r="AS5" s="1">
        <v>4.48E-2</v>
      </c>
      <c r="AT5" s="1">
        <v>4.48E-2</v>
      </c>
      <c r="AU5" s="1">
        <v>4.48E-2</v>
      </c>
      <c r="AV5" s="1">
        <v>4.48E-2</v>
      </c>
    </row>
    <row r="6" spans="2:48" ht="29" x14ac:dyDescent="0.35">
      <c r="B6" s="3" t="s">
        <v>5</v>
      </c>
      <c r="D6">
        <f>D9*16210000</f>
        <v>16010617</v>
      </c>
      <c r="E6">
        <f>E9*16210000</f>
        <v>15813686.4109</v>
      </c>
      <c r="F6">
        <f t="shared" ref="F6:AV6" si="1">F9*16210000</f>
        <v>15619178.068045931</v>
      </c>
      <c r="G6">
        <f t="shared" si="1"/>
        <v>15427062.177808966</v>
      </c>
      <c r="H6">
        <f t="shared" si="1"/>
        <v>15237309.313021919</v>
      </c>
      <c r="I6">
        <f t="shared" si="1"/>
        <v>15049890.408471748</v>
      </c>
      <c r="J6">
        <f t="shared" si="1"/>
        <v>14864776.756447546</v>
      </c>
      <c r="K6">
        <f t="shared" si="1"/>
        <v>14681940.002343243</v>
      </c>
      <c r="L6">
        <f t="shared" si="1"/>
        <v>14501352.140314421</v>
      </c>
      <c r="M6">
        <f t="shared" si="1"/>
        <v>14322985.508988556</v>
      </c>
      <c r="N6">
        <f t="shared" si="1"/>
        <v>14146812.787227996</v>
      </c>
      <c r="O6">
        <f t="shared" si="1"/>
        <v>13972806.989945091</v>
      </c>
      <c r="P6">
        <f t="shared" si="1"/>
        <v>13800941.463968769</v>
      </c>
      <c r="Q6">
        <f t="shared" si="1"/>
        <v>13631189.883961953</v>
      </c>
      <c r="R6">
        <f t="shared" si="1"/>
        <v>13463526.248389222</v>
      </c>
      <c r="S6">
        <f t="shared" si="1"/>
        <v>12789657.58</v>
      </c>
      <c r="T6">
        <f t="shared" si="1"/>
        <v>12157848.495548001</v>
      </c>
      <c r="U6">
        <f t="shared" si="1"/>
        <v>11557250.779867928</v>
      </c>
      <c r="V6" s="5">
        <f>V9*16210000</f>
        <v>10986322.591342455</v>
      </c>
      <c r="W6">
        <f>W9*16210000</f>
        <v>10443598.255330136</v>
      </c>
      <c r="X6">
        <f t="shared" si="1"/>
        <v>9927684.5015168283</v>
      </c>
      <c r="Y6">
        <f t="shared" si="1"/>
        <v>9437256.8871418964</v>
      </c>
      <c r="Z6">
        <f t="shared" si="1"/>
        <v>8971056.396917088</v>
      </c>
      <c r="AA6">
        <f t="shared" si="1"/>
        <v>8527886.2109093834</v>
      </c>
      <c r="AB6">
        <f t="shared" si="1"/>
        <v>8106608.6320904605</v>
      </c>
      <c r="AC6">
        <f t="shared" si="1"/>
        <v>7741896</v>
      </c>
      <c r="AD6">
        <f t="shared" si="1"/>
        <v>7395059.0592</v>
      </c>
      <c r="AE6">
        <f t="shared" si="1"/>
        <v>7063760.4133478412</v>
      </c>
      <c r="AF6">
        <f t="shared" si="1"/>
        <v>6747303.9468298573</v>
      </c>
      <c r="AG6">
        <f t="shared" si="1"/>
        <v>6445024.7300118804</v>
      </c>
      <c r="AH6">
        <f t="shared" si="1"/>
        <v>6156287.6221073484</v>
      </c>
      <c r="AI6">
        <f t="shared" si="1"/>
        <v>5880485.9366369396</v>
      </c>
      <c r="AJ6">
        <f t="shared" si="1"/>
        <v>5617040.1666756049</v>
      </c>
      <c r="AK6">
        <f t="shared" si="1"/>
        <v>5365396.7672085371</v>
      </c>
      <c r="AL6">
        <f t="shared" si="1"/>
        <v>5125026.9920375952</v>
      </c>
      <c r="AM6">
        <f t="shared" si="1"/>
        <v>4895425.7827943116</v>
      </c>
      <c r="AN6">
        <f t="shared" si="1"/>
        <v>4676110.7077251263</v>
      </c>
      <c r="AO6">
        <f>AO9*16210000</f>
        <v>4466620.9480190407</v>
      </c>
      <c r="AP6">
        <f t="shared" si="1"/>
        <v>4266516.329547788</v>
      </c>
      <c r="AQ6">
        <f t="shared" si="1"/>
        <v>4075376.3979840474</v>
      </c>
      <c r="AR6">
        <f t="shared" si="1"/>
        <v>3892799.5353543619</v>
      </c>
      <c r="AS6">
        <f t="shared" si="1"/>
        <v>3718402.1161704869</v>
      </c>
      <c r="AT6">
        <f t="shared" si="1"/>
        <v>3551817.7013660488</v>
      </c>
      <c r="AU6">
        <f t="shared" si="1"/>
        <v>3392696.2683448503</v>
      </c>
      <c r="AV6">
        <f t="shared" si="1"/>
        <v>3240703.4755230006</v>
      </c>
    </row>
    <row r="7" spans="2:48" x14ac:dyDescent="0.35">
      <c r="B7" s="3" t="s">
        <v>3</v>
      </c>
      <c r="D7">
        <f>D6-D4</f>
        <v>-78083</v>
      </c>
      <c r="E7">
        <f t="shared" ref="E7:AV7" si="2">E6-E4</f>
        <v>-149913.58909999952</v>
      </c>
      <c r="F7">
        <f t="shared" si="2"/>
        <v>-214721.93195406906</v>
      </c>
      <c r="G7">
        <f t="shared" si="2"/>
        <v>-271437.82219103351</v>
      </c>
      <c r="H7">
        <f t="shared" si="2"/>
        <v>-319490.68697808124</v>
      </c>
      <c r="I7">
        <f t="shared" si="2"/>
        <v>-357909.59152825177</v>
      </c>
      <c r="J7">
        <f t="shared" si="2"/>
        <v>-385723.24355245382</v>
      </c>
      <c r="K7">
        <f t="shared" si="2"/>
        <v>-402159.99765675701</v>
      </c>
      <c r="L7">
        <f t="shared" si="2"/>
        <v>-406247.85968557931</v>
      </c>
      <c r="M7">
        <f t="shared" si="2"/>
        <v>-397014.49101144448</v>
      </c>
      <c r="N7">
        <f t="shared" si="2"/>
        <v>-399587.21277200431</v>
      </c>
      <c r="O7">
        <f t="shared" si="2"/>
        <v>-427793.01005490869</v>
      </c>
      <c r="P7">
        <f t="shared" si="2"/>
        <v>-456558.53603123128</v>
      </c>
      <c r="Q7">
        <f t="shared" si="2"/>
        <v>-477610.11603804678</v>
      </c>
      <c r="R7">
        <f t="shared" si="2"/>
        <v>-487773.75161077827</v>
      </c>
      <c r="S7">
        <f t="shared" si="2"/>
        <v>-993942.41999999993</v>
      </c>
      <c r="T7">
        <f t="shared" si="2"/>
        <v>-1446951.5044519994</v>
      </c>
      <c r="U7">
        <f t="shared" si="2"/>
        <v>-1856949.2201320715</v>
      </c>
      <c r="V7" s="5">
        <f>V6-V4</f>
        <v>-2224777.4086575452</v>
      </c>
      <c r="W7" s="5">
        <f t="shared" si="2"/>
        <v>-2551301.744669864</v>
      </c>
      <c r="X7" s="5">
        <f t="shared" si="2"/>
        <v>-2837115.4984831717</v>
      </c>
      <c r="Y7" s="5">
        <f t="shared" si="2"/>
        <v>-3082943.1128581036</v>
      </c>
      <c r="Z7" s="5">
        <f t="shared" si="2"/>
        <v>-3289443.603082912</v>
      </c>
      <c r="AA7" s="5">
        <f t="shared" si="2"/>
        <v>-3457313.7890906166</v>
      </c>
      <c r="AB7" s="5">
        <f t="shared" si="2"/>
        <v>-3587091.3679095395</v>
      </c>
      <c r="AC7" s="5">
        <f t="shared" si="2"/>
        <v>-3643604</v>
      </c>
      <c r="AD7" s="5">
        <f t="shared" si="2"/>
        <v>-3665040.9408</v>
      </c>
      <c r="AE7" s="5">
        <f t="shared" si="2"/>
        <v>-3653139.5866521588</v>
      </c>
      <c r="AF7" s="5">
        <f t="shared" si="2"/>
        <v>-3608196.0531701427</v>
      </c>
      <c r="AG7" s="5">
        <f t="shared" si="2"/>
        <v>-3530315.2699881196</v>
      </c>
      <c r="AH7" s="5">
        <f t="shared" si="2"/>
        <v>-3419602.3778926516</v>
      </c>
      <c r="AI7" s="5">
        <f t="shared" si="2"/>
        <v>-3276184.0633630604</v>
      </c>
      <c r="AJ7" s="5">
        <f t="shared" si="2"/>
        <v>-3100169.8333243951</v>
      </c>
      <c r="AK7" s="5">
        <f t="shared" si="2"/>
        <v>-2891613.2327914629</v>
      </c>
      <c r="AL7" s="5">
        <f t="shared" si="2"/>
        <v>-2650573.0079624048</v>
      </c>
      <c r="AM7" s="5">
        <f t="shared" si="2"/>
        <v>-2377094.2172056884</v>
      </c>
      <c r="AN7" s="5">
        <f t="shared" si="2"/>
        <v>-2071189.2922748737</v>
      </c>
      <c r="AO7" s="5">
        <f t="shared" si="2"/>
        <v>-1732879.0519809593</v>
      </c>
      <c r="AP7" s="5">
        <f t="shared" si="2"/>
        <v>-1362143.670452212</v>
      </c>
      <c r="AQ7" s="5">
        <f t="shared" si="2"/>
        <v>-958983.60201595258</v>
      </c>
      <c r="AR7" s="5">
        <f t="shared" si="2"/>
        <v>-523360.46464563813</v>
      </c>
      <c r="AS7" s="5">
        <f t="shared" si="2"/>
        <v>-55227.883829513099</v>
      </c>
      <c r="AT7" s="5">
        <f t="shared" si="2"/>
        <v>445447.70136604877</v>
      </c>
      <c r="AU7" s="5">
        <f t="shared" si="2"/>
        <v>978726.26834485028</v>
      </c>
      <c r="AV7" s="5">
        <f t="shared" si="2"/>
        <v>1544563.4755230006</v>
      </c>
    </row>
    <row r="8" spans="2:48" x14ac:dyDescent="0.35">
      <c r="B8" s="3" t="s">
        <v>2</v>
      </c>
      <c r="D8">
        <f>ABS(D6-D4)</f>
        <v>78083</v>
      </c>
      <c r="E8">
        <f t="shared" ref="E8:AV8" si="3">ABS(E6-E4)</f>
        <v>149913.58909999952</v>
      </c>
      <c r="F8">
        <f t="shared" si="3"/>
        <v>214721.93195406906</v>
      </c>
      <c r="G8">
        <f t="shared" si="3"/>
        <v>271437.82219103351</v>
      </c>
      <c r="H8">
        <f t="shared" si="3"/>
        <v>319490.68697808124</v>
      </c>
      <c r="I8">
        <f t="shared" si="3"/>
        <v>357909.59152825177</v>
      </c>
      <c r="J8">
        <f t="shared" si="3"/>
        <v>385723.24355245382</v>
      </c>
      <c r="K8">
        <f t="shared" si="3"/>
        <v>402159.99765675701</v>
      </c>
      <c r="L8">
        <f t="shared" si="3"/>
        <v>406247.85968557931</v>
      </c>
      <c r="M8">
        <f t="shared" si="3"/>
        <v>397014.49101144448</v>
      </c>
      <c r="N8">
        <f t="shared" si="3"/>
        <v>399587.21277200431</v>
      </c>
      <c r="O8">
        <f t="shared" si="3"/>
        <v>427793.01005490869</v>
      </c>
      <c r="P8">
        <f t="shared" si="3"/>
        <v>456558.53603123128</v>
      </c>
      <c r="Q8">
        <f t="shared" si="3"/>
        <v>477610.11603804678</v>
      </c>
      <c r="R8">
        <f t="shared" si="3"/>
        <v>487773.75161077827</v>
      </c>
      <c r="S8">
        <f t="shared" si="3"/>
        <v>993942.41999999993</v>
      </c>
      <c r="T8">
        <f t="shared" si="3"/>
        <v>1446951.5044519994</v>
      </c>
      <c r="U8">
        <f t="shared" si="3"/>
        <v>1856949.2201320715</v>
      </c>
      <c r="V8">
        <f>ABS(V6-V4)</f>
        <v>2224777.4086575452</v>
      </c>
      <c r="W8">
        <f t="shared" si="3"/>
        <v>2551301.744669864</v>
      </c>
      <c r="X8">
        <f t="shared" si="3"/>
        <v>2837115.4984831717</v>
      </c>
      <c r="Y8">
        <f t="shared" si="3"/>
        <v>3082943.1128581036</v>
      </c>
      <c r="Z8">
        <f t="shared" si="3"/>
        <v>3289443.603082912</v>
      </c>
      <c r="AA8">
        <f t="shared" si="3"/>
        <v>3457313.7890906166</v>
      </c>
      <c r="AB8">
        <f t="shared" si="3"/>
        <v>3587091.3679095395</v>
      </c>
      <c r="AC8">
        <f t="shared" si="3"/>
        <v>3643604</v>
      </c>
      <c r="AD8">
        <f t="shared" si="3"/>
        <v>3665040.9408</v>
      </c>
      <c r="AE8">
        <f t="shared" si="3"/>
        <v>3653139.5866521588</v>
      </c>
      <c r="AF8">
        <f t="shared" si="3"/>
        <v>3608196.0531701427</v>
      </c>
      <c r="AG8">
        <f t="shared" si="3"/>
        <v>3530315.2699881196</v>
      </c>
      <c r="AH8">
        <f t="shared" si="3"/>
        <v>3419602.3778926516</v>
      </c>
      <c r="AI8">
        <f t="shared" si="3"/>
        <v>3276184.0633630604</v>
      </c>
      <c r="AJ8">
        <f t="shared" si="3"/>
        <v>3100169.8333243951</v>
      </c>
      <c r="AK8">
        <f t="shared" si="3"/>
        <v>2891613.2327914629</v>
      </c>
      <c r="AL8">
        <f t="shared" si="3"/>
        <v>2650573.0079624048</v>
      </c>
      <c r="AM8">
        <f t="shared" si="3"/>
        <v>2377094.2172056884</v>
      </c>
      <c r="AN8">
        <f t="shared" si="3"/>
        <v>2071189.2922748737</v>
      </c>
      <c r="AO8">
        <f t="shared" si="3"/>
        <v>1732879.0519809593</v>
      </c>
      <c r="AP8">
        <f t="shared" si="3"/>
        <v>1362143.670452212</v>
      </c>
      <c r="AQ8">
        <f t="shared" si="3"/>
        <v>958983.60201595258</v>
      </c>
      <c r="AR8">
        <f t="shared" si="3"/>
        <v>523360.46464563813</v>
      </c>
      <c r="AS8">
        <f t="shared" si="3"/>
        <v>55227.883829513099</v>
      </c>
      <c r="AT8">
        <f t="shared" si="3"/>
        <v>445447.70136604877</v>
      </c>
      <c r="AU8">
        <f t="shared" si="3"/>
        <v>978726.26834485028</v>
      </c>
      <c r="AV8">
        <f t="shared" si="3"/>
        <v>1544563.4755230006</v>
      </c>
    </row>
    <row r="9" spans="2:48" ht="29" x14ac:dyDescent="0.35">
      <c r="B9" s="3" t="s">
        <v>4</v>
      </c>
      <c r="D9">
        <f>(1-0.0123)^1</f>
        <v>0.98770000000000002</v>
      </c>
      <c r="E9">
        <f>(1-0.0123)^2</f>
        <v>0.97555129000000007</v>
      </c>
      <c r="F9">
        <f>(1-0.0123)^3</f>
        <v>0.9635520091330001</v>
      </c>
      <c r="G9">
        <f>(1-0.0123)^4</f>
        <v>0.95170031942066424</v>
      </c>
      <c r="H9">
        <f>(1-0.0123)^5</f>
        <v>0.93999440549179014</v>
      </c>
      <c r="I9">
        <f>(1-0.0123)^6</f>
        <v>0.92843247430424114</v>
      </c>
      <c r="J9">
        <f>(1-0.0123)^7</f>
        <v>0.91701275487029899</v>
      </c>
      <c r="K9">
        <f>(1-0.0123)^8</f>
        <v>0.90573349798539438</v>
      </c>
      <c r="L9">
        <f>(1-0.0123)^9</f>
        <v>0.89459297596017406</v>
      </c>
      <c r="M9">
        <f>(1-0.0123)^10</f>
        <v>0.88358948235586399</v>
      </c>
      <c r="N9">
        <f>(1-0.0123)^11</f>
        <v>0.8727213317228868</v>
      </c>
      <c r="O9">
        <f>(1-0.0123)^12</f>
        <v>0.86198685934269537</v>
      </c>
      <c r="P9">
        <f>(1-0.0123)^13</f>
        <v>0.85138442097278033</v>
      </c>
      <c r="Q9">
        <f>(1-0.0123)^14</f>
        <v>0.84091239259481509</v>
      </c>
      <c r="R9">
        <f>(1-0.0123)^15</f>
        <v>0.83056917016589893</v>
      </c>
      <c r="S9">
        <f>0.83*(1-0.0494)</f>
        <v>0.78899799999999998</v>
      </c>
      <c r="T9">
        <f>0.83*(1-0.0494)^2</f>
        <v>0.75002149880000002</v>
      </c>
      <c r="U9">
        <f>0.83*(1-0.0494)^3</f>
        <v>0.71297043675927996</v>
      </c>
      <c r="V9" s="1">
        <f>0.83*(1-0.0494)^4</f>
        <v>0.67774969718337164</v>
      </c>
      <c r="W9" s="1">
        <f>0.83*(1-0.0494)^5</f>
        <v>0.644268862142513</v>
      </c>
      <c r="X9" s="1">
        <f>0.83*(1-0.0494)^6</f>
        <v>0.61244198035267294</v>
      </c>
      <c r="Y9" s="1">
        <f>0.83*(1-0.0494)^7</f>
        <v>0.58218734652325088</v>
      </c>
      <c r="Z9" s="1">
        <f>0.83*(1-0.0494)^8</f>
        <v>0.55342729160500237</v>
      </c>
      <c r="AA9" s="1">
        <f>0.83*(1-0.0494)^9</f>
        <v>0.52608798339971519</v>
      </c>
      <c r="AB9" s="1">
        <f>0.83*(1-0.0494)^10</f>
        <v>0.50009923701976933</v>
      </c>
      <c r="AC9" s="1">
        <f>0.5*(1-0.0448)^1</f>
        <v>0.47760000000000002</v>
      </c>
      <c r="AD9" s="1">
        <f>0.5*(1-0.0448)^2</f>
        <v>0.45620352000000003</v>
      </c>
      <c r="AE9" s="1">
        <f>0.5*(1-0.0448)^3</f>
        <v>0.43576560230400008</v>
      </c>
      <c r="AF9" s="1">
        <f>0.5*(1-0.0448)^4</f>
        <v>0.41624330332078086</v>
      </c>
      <c r="AG9" s="1">
        <f>0.5*(1-0.0448)^5</f>
        <v>0.39759560333200988</v>
      </c>
      <c r="AH9" s="1">
        <f>0.5*(1-0.0448)^6</f>
        <v>0.37978332030273587</v>
      </c>
      <c r="AI9" s="1">
        <f>0.5*(1-0.0448)^7</f>
        <v>0.36276902755317331</v>
      </c>
      <c r="AJ9" s="1">
        <f>0.5*(1-0.0448)^8</f>
        <v>0.34651697511879115</v>
      </c>
      <c r="AK9" s="1">
        <f>0.5*(1-0.0448)^9</f>
        <v>0.33099301463346931</v>
      </c>
      <c r="AL9" s="1">
        <f>0.5*(1-0.0448)^10</f>
        <v>0.31616452757788988</v>
      </c>
      <c r="AM9" s="1">
        <f>0.5*(1-0.0448)^11</f>
        <v>0.30200035674240044</v>
      </c>
      <c r="AN9" s="1">
        <f>0.5*(1-0.0448)^12</f>
        <v>0.2884707407603409</v>
      </c>
      <c r="AO9" s="1">
        <f>0.5*(1-0.0448)^13</f>
        <v>0.27554725157427767</v>
      </c>
      <c r="AP9" s="1">
        <f>0.5*(1-0.0448)^14</f>
        <v>0.26320273470375005</v>
      </c>
      <c r="AQ9" s="1">
        <f>0.5*(1-0.0448)^15</f>
        <v>0.25141125218902205</v>
      </c>
      <c r="AR9" s="1">
        <f>0.5*(1-0.0448)^16</f>
        <v>0.24014802809095384</v>
      </c>
      <c r="AS9" s="1">
        <f>0.5*(1-0.0448)^17</f>
        <v>0.22938939643247913</v>
      </c>
      <c r="AT9" s="1">
        <f>0.5*(1-0.0448)^18</f>
        <v>0.21911275147230405</v>
      </c>
      <c r="AU9" s="1">
        <f>0.5*(1-0.0448)^19</f>
        <v>0.20929650020634485</v>
      </c>
      <c r="AV9" s="1">
        <f>0.5*(1-0.0448)^20</f>
        <v>0.1999200169971006</v>
      </c>
    </row>
    <row r="10" spans="2:48" x14ac:dyDescent="0.35">
      <c r="B10" s="3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2:48" x14ac:dyDescent="0.35">
      <c r="B11" s="3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4" spans="2:48" x14ac:dyDescent="0.35">
      <c r="V14">
        <v>2224777.4086575452</v>
      </c>
      <c r="W14">
        <v>2551301.744669864</v>
      </c>
      <c r="X14">
        <v>2837115.4984831717</v>
      </c>
      <c r="Y14">
        <v>3082943.1128581036</v>
      </c>
      <c r="Z14">
        <v>3289443.603082912</v>
      </c>
      <c r="AA14">
        <v>3457313.7890906166</v>
      </c>
      <c r="AB14">
        <v>3587091.3679095395</v>
      </c>
      <c r="AC14">
        <v>3643604</v>
      </c>
      <c r="AD14">
        <v>3665040.9408</v>
      </c>
      <c r="AE14">
        <v>3653139.5866521588</v>
      </c>
      <c r="AF14">
        <v>3608196.0531701427</v>
      </c>
      <c r="AG14">
        <v>3530315.2699881196</v>
      </c>
      <c r="AH14">
        <v>3419602.3778926516</v>
      </c>
      <c r="AI14">
        <v>3276184.0633630604</v>
      </c>
      <c r="AJ14">
        <v>3100169.8333243951</v>
      </c>
      <c r="AK14">
        <v>2891613.2327914629</v>
      </c>
      <c r="AL14">
        <v>2650573.0079624048</v>
      </c>
      <c r="AM14">
        <v>2377094.2172056884</v>
      </c>
      <c r="AN14">
        <v>2071189.2922748737</v>
      </c>
      <c r="AO14">
        <v>1732879.0519809593</v>
      </c>
      <c r="AP14">
        <v>1362143.670452212</v>
      </c>
      <c r="AQ14">
        <v>958983.60201595258</v>
      </c>
      <c r="AR14">
        <v>523360.46464563813</v>
      </c>
      <c r="AS14">
        <v>55227.883829513099</v>
      </c>
      <c r="AT14">
        <v>445447.70136604877</v>
      </c>
      <c r="AU14">
        <v>978726.26834485028</v>
      </c>
      <c r="AV14">
        <v>1544563.4755230006</v>
      </c>
    </row>
    <row r="15" spans="2:48" ht="72.5" x14ac:dyDescent="0.35">
      <c r="B15" s="10" t="s">
        <v>12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4" t="s">
        <v>9</v>
      </c>
      <c r="T15">
        <f>AVERAGE(D5:U5)</f>
        <v>1.2416782451270066E-2</v>
      </c>
      <c r="V15">
        <f>T15/S1</f>
        <v>0.25135187148319971</v>
      </c>
    </row>
    <row r="16" spans="2:48" x14ac:dyDescent="0.35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2:18" x14ac:dyDescent="0.35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2:18" x14ac:dyDescent="0.35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2:18" x14ac:dyDescent="0.35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2:18" x14ac:dyDescent="0.35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2:18" x14ac:dyDescent="0.35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2:18" x14ac:dyDescent="0.35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2:18" x14ac:dyDescent="0.35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2:18" x14ac:dyDescent="0.3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2:18" x14ac:dyDescent="0.3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</sheetData>
  <mergeCells count="4">
    <mergeCell ref="C1:R1"/>
    <mergeCell ref="S1:AB1"/>
    <mergeCell ref="AC1:AV1"/>
    <mergeCell ref="B15:R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5AFD-A62F-CC4E-AA53-715B63113F4D}">
  <dimension ref="A1:C47"/>
  <sheetViews>
    <sheetView topLeftCell="A13" zoomScale="85" zoomScaleNormal="85" workbookViewId="0">
      <selection activeCell="T14" sqref="T14"/>
    </sheetView>
  </sheetViews>
  <sheetFormatPr defaultColWidth="10.90625" defaultRowHeight="14.5" x14ac:dyDescent="0.35"/>
  <cols>
    <col min="2" max="2" width="18.90625" style="5" customWidth="1"/>
    <col min="3" max="3" width="17.54296875" style="5" customWidth="1"/>
  </cols>
  <sheetData>
    <row r="1" spans="1:3" ht="43.5" x14ac:dyDescent="0.35">
      <c r="A1" s="2" t="s">
        <v>0</v>
      </c>
      <c r="B1" s="12" t="s">
        <v>10</v>
      </c>
      <c r="C1" s="12" t="s">
        <v>11</v>
      </c>
    </row>
    <row r="2" spans="1:3" x14ac:dyDescent="0.35">
      <c r="A2">
        <v>2005</v>
      </c>
    </row>
    <row r="3" spans="1:3" x14ac:dyDescent="0.35">
      <c r="A3">
        <v>2006</v>
      </c>
      <c r="B3" s="5">
        <v>59383</v>
      </c>
      <c r="C3" s="5">
        <v>59383</v>
      </c>
    </row>
    <row r="4" spans="1:3" x14ac:dyDescent="0.35">
      <c r="A4">
        <v>2007</v>
      </c>
      <c r="B4" s="5">
        <v>596313.58909999952</v>
      </c>
      <c r="C4" s="5">
        <v>596313.58909999952</v>
      </c>
    </row>
    <row r="5" spans="1:3" x14ac:dyDescent="0.35">
      <c r="A5">
        <v>2008</v>
      </c>
      <c r="B5" s="5">
        <v>80821.931954069063</v>
      </c>
      <c r="C5" s="5">
        <v>80821.931954069063</v>
      </c>
    </row>
    <row r="6" spans="1:3" x14ac:dyDescent="0.35">
      <c r="A6">
        <v>2009</v>
      </c>
      <c r="B6" s="5">
        <v>137062.17780896649</v>
      </c>
      <c r="C6" s="5">
        <v>137062.17780896649</v>
      </c>
    </row>
    <row r="7" spans="1:3" x14ac:dyDescent="0.35">
      <c r="A7">
        <v>2010</v>
      </c>
      <c r="B7" s="5">
        <v>652690.68697808124</v>
      </c>
      <c r="C7" s="5">
        <v>652690.68697808124</v>
      </c>
    </row>
    <row r="8" spans="1:3" x14ac:dyDescent="0.35">
      <c r="A8">
        <v>2011</v>
      </c>
      <c r="B8" s="5">
        <v>270109.59152825177</v>
      </c>
      <c r="C8" s="5">
        <v>270109.59152825177</v>
      </c>
    </row>
    <row r="9" spans="1:3" x14ac:dyDescent="0.35">
      <c r="A9">
        <v>2012</v>
      </c>
      <c r="B9" s="5">
        <v>225223.24355245382</v>
      </c>
      <c r="C9" s="5">
        <v>225223.24355245382</v>
      </c>
    </row>
    <row r="10" spans="1:3" x14ac:dyDescent="0.35">
      <c r="A10">
        <v>2013</v>
      </c>
      <c r="B10" s="5">
        <v>398059.99765675701</v>
      </c>
      <c r="C10" s="5">
        <v>398059.99765675701</v>
      </c>
    </row>
    <row r="11" spans="1:3" x14ac:dyDescent="0.35">
      <c r="A11">
        <v>2014</v>
      </c>
      <c r="B11" s="5">
        <v>478647.85968557931</v>
      </c>
      <c r="C11" s="5">
        <v>478647.85968557931</v>
      </c>
    </row>
    <row r="12" spans="1:3" x14ac:dyDescent="0.35">
      <c r="A12">
        <v>2015</v>
      </c>
      <c r="B12" s="5">
        <v>957014.49101144448</v>
      </c>
      <c r="C12" s="5">
        <v>957014.49101144448</v>
      </c>
    </row>
    <row r="13" spans="1:3" x14ac:dyDescent="0.35">
      <c r="A13">
        <v>2016</v>
      </c>
      <c r="B13" s="5">
        <v>1433187.2127720043</v>
      </c>
      <c r="C13" s="5">
        <v>1433187.2127720043</v>
      </c>
    </row>
    <row r="14" spans="1:3" x14ac:dyDescent="0.35">
      <c r="A14">
        <v>2017</v>
      </c>
      <c r="B14" s="5">
        <v>1587193.0100549087</v>
      </c>
      <c r="C14" s="5">
        <v>1587193.0100549087</v>
      </c>
    </row>
    <row r="15" spans="1:3" x14ac:dyDescent="0.35">
      <c r="A15">
        <v>2018</v>
      </c>
      <c r="B15" s="5">
        <v>139058.53603123128</v>
      </c>
      <c r="C15" s="5">
        <v>139058.53603123128</v>
      </c>
    </row>
    <row r="16" spans="1:3" x14ac:dyDescent="0.35">
      <c r="A16">
        <v>2019</v>
      </c>
      <c r="B16" s="5">
        <v>428810.11603804678</v>
      </c>
      <c r="C16" s="5">
        <v>428810.11603804678</v>
      </c>
    </row>
    <row r="17" spans="1:3" x14ac:dyDescent="0.35">
      <c r="A17">
        <v>2020</v>
      </c>
      <c r="B17" s="5">
        <v>2613526.2483892217</v>
      </c>
      <c r="C17" s="5">
        <v>2613526.2483892217</v>
      </c>
    </row>
    <row r="18" spans="1:3" x14ac:dyDescent="0.35">
      <c r="A18">
        <v>2021</v>
      </c>
      <c r="B18" s="5">
        <v>419657.58000000007</v>
      </c>
      <c r="C18" s="5">
        <v>419657.58000000007</v>
      </c>
    </row>
    <row r="19" spans="1:3" x14ac:dyDescent="0.35">
      <c r="A19">
        <v>2022</v>
      </c>
      <c r="B19" s="5">
        <v>442151.50445199944</v>
      </c>
      <c r="C19" s="5">
        <v>442151.50445199944</v>
      </c>
    </row>
    <row r="20" spans="1:3" x14ac:dyDescent="0.35">
      <c r="A20">
        <v>2023</v>
      </c>
      <c r="B20" s="5">
        <v>1032749.2201320715</v>
      </c>
      <c r="C20" s="5">
        <v>1032749.2201320715</v>
      </c>
    </row>
    <row r="21" spans="1:3" x14ac:dyDescent="0.35">
      <c r="A21" s="1">
        <v>2024</v>
      </c>
      <c r="B21" s="5">
        <v>981731.40865754522</v>
      </c>
      <c r="C21" s="5">
        <v>1461410.4086575452</v>
      </c>
    </row>
    <row r="22" spans="1:3" x14ac:dyDescent="0.35">
      <c r="A22" s="1">
        <v>2025</v>
      </c>
      <c r="B22" s="5">
        <v>933233.87706986442</v>
      </c>
      <c r="C22" s="5">
        <v>1863475.3617698643</v>
      </c>
    </row>
    <row r="23" spans="1:3" x14ac:dyDescent="0.35">
      <c r="A23" s="1">
        <v>2026</v>
      </c>
      <c r="B23" s="5">
        <v>887132.12354261242</v>
      </c>
      <c r="C23" s="5">
        <v>2240319.1837099418</v>
      </c>
    </row>
    <row r="24" spans="1:3" x14ac:dyDescent="0.35">
      <c r="A24" s="1">
        <v>2027</v>
      </c>
      <c r="B24" s="5">
        <v>843307.79663960822</v>
      </c>
      <c r="C24" s="5">
        <v>2593248.3564418107</v>
      </c>
    </row>
    <row r="25" spans="1:3" x14ac:dyDescent="0.35">
      <c r="A25" s="1">
        <v>2028</v>
      </c>
      <c r="B25" s="5">
        <v>801648.39148561098</v>
      </c>
      <c r="C25" s="5">
        <v>2923504.1374141239</v>
      </c>
    </row>
    <row r="26" spans="1:3" x14ac:dyDescent="0.35">
      <c r="A26" s="1">
        <v>2029</v>
      </c>
      <c r="B26" s="5">
        <v>762046.96094622277</v>
      </c>
      <c r="C26" s="5">
        <v>3232265.7893838864</v>
      </c>
    </row>
    <row r="27" spans="1:3" x14ac:dyDescent="0.35">
      <c r="A27" s="1">
        <v>2030</v>
      </c>
      <c r="B27" s="5">
        <v>724401.84107547812</v>
      </c>
      <c r="C27" s="5">
        <v>3520653.6505994964</v>
      </c>
    </row>
    <row r="28" spans="1:3" x14ac:dyDescent="0.35">
      <c r="A28" s="1">
        <v>2031</v>
      </c>
      <c r="B28" s="5">
        <v>693485.20396810584</v>
      </c>
      <c r="C28" s="5">
        <v>3753978.2188955601</v>
      </c>
    </row>
    <row r="29" spans="1:3" x14ac:dyDescent="0.35">
      <c r="A29" s="1">
        <v>2032</v>
      </c>
      <c r="B29" s="5">
        <v>662417.06683033518</v>
      </c>
      <c r="C29" s="5">
        <v>3970911.7810220402</v>
      </c>
    </row>
    <row r="30" spans="1:3" x14ac:dyDescent="0.35">
      <c r="A30" s="1">
        <v>2033</v>
      </c>
      <c r="B30" s="5">
        <v>632740.7822363358</v>
      </c>
      <c r="C30" s="5">
        <v>4173774.9563796902</v>
      </c>
    </row>
    <row r="31" spans="1:3" x14ac:dyDescent="0.35">
      <c r="A31" s="1">
        <v>2034</v>
      </c>
      <c r="B31" s="5">
        <v>604393.99519214872</v>
      </c>
      <c r="C31" s="5">
        <v>4363247.2732197531</v>
      </c>
    </row>
    <row r="32" spans="1:3" x14ac:dyDescent="0.35">
      <c r="A32" s="1">
        <v>2035</v>
      </c>
      <c r="B32" s="5">
        <v>577317.14420753997</v>
      </c>
      <c r="C32" s="5">
        <v>4539977.2612511702</v>
      </c>
    </row>
    <row r="33" spans="1:3" x14ac:dyDescent="0.35">
      <c r="A33" s="1">
        <v>2036</v>
      </c>
      <c r="B33" s="5">
        <v>551453.33614704199</v>
      </c>
      <c r="C33" s="5">
        <v>4704583.8466544291</v>
      </c>
    </row>
    <row r="34" spans="1:3" x14ac:dyDescent="0.35">
      <c r="A34" s="1">
        <v>2037</v>
      </c>
      <c r="B34" s="5">
        <v>526748.22668765485</v>
      </c>
      <c r="C34" s="5">
        <v>4857657.6845278293</v>
      </c>
    </row>
    <row r="35" spans="1:3" x14ac:dyDescent="0.35">
      <c r="A35" s="1">
        <v>2038</v>
      </c>
      <c r="B35" s="5">
        <v>503149.906132048</v>
      </c>
      <c r="C35" s="5">
        <v>4999762.4315700028</v>
      </c>
    </row>
    <row r="36" spans="1:3" x14ac:dyDescent="0.35">
      <c r="A36" s="1">
        <v>2039</v>
      </c>
      <c r="B36" s="5">
        <v>480608.79033733346</v>
      </c>
      <c r="C36" s="5">
        <v>5131435.9616768956</v>
      </c>
    </row>
    <row r="37" spans="1:3" x14ac:dyDescent="0.35">
      <c r="A37" s="1">
        <v>2040</v>
      </c>
      <c r="B37" s="5">
        <v>459077.5165302204</v>
      </c>
      <c r="C37" s="5">
        <v>5253191.5270114327</v>
      </c>
    </row>
    <row r="38" spans="1:3" x14ac:dyDescent="0.35">
      <c r="A38" s="1">
        <v>2041</v>
      </c>
      <c r="B38" s="5">
        <v>438510.84378966596</v>
      </c>
      <c r="C38" s="5">
        <v>5365518.8669894617</v>
      </c>
    </row>
    <row r="39" spans="1:3" x14ac:dyDescent="0.35">
      <c r="A39" s="1">
        <v>2042</v>
      </c>
      <c r="B39" s="5">
        <v>418865.55798788927</v>
      </c>
      <c r="C39" s="5">
        <v>5468885.2675160915</v>
      </c>
    </row>
    <row r="40" spans="1:3" x14ac:dyDescent="0.35">
      <c r="A40" s="1">
        <v>2043</v>
      </c>
      <c r="B40" s="5">
        <v>400100.38099003211</v>
      </c>
      <c r="C40" s="5">
        <v>5563736.5727019515</v>
      </c>
    </row>
    <row r="41" spans="1:3" x14ac:dyDescent="0.35">
      <c r="A41" s="1">
        <v>2044</v>
      </c>
      <c r="B41" s="5">
        <v>382175.88392167818</v>
      </c>
      <c r="C41" s="5">
        <v>5650498.1511890581</v>
      </c>
    </row>
    <row r="42" spans="1:3" x14ac:dyDescent="0.35">
      <c r="A42" s="1">
        <v>2045</v>
      </c>
      <c r="B42" s="5">
        <v>365054.40432198718</v>
      </c>
      <c r="C42" s="5">
        <v>5729575.8191204732</v>
      </c>
    </row>
    <row r="43" spans="1:3" x14ac:dyDescent="0.35">
      <c r="A43" s="1">
        <v>2046</v>
      </c>
      <c r="B43" s="5">
        <v>165054.40432198701</v>
      </c>
      <c r="C43" s="5">
        <v>5801356.7216968788</v>
      </c>
    </row>
    <row r="44" spans="1:3" x14ac:dyDescent="0.35">
      <c r="A44" s="1">
        <v>2047</v>
      </c>
      <c r="B44">
        <v>55227.883829513099</v>
      </c>
      <c r="C44" s="5">
        <v>5866210.1751760747</v>
      </c>
    </row>
    <row r="45" spans="1:3" x14ac:dyDescent="0.35">
      <c r="A45" s="1">
        <v>2048</v>
      </c>
      <c r="B45" s="5">
        <v>0</v>
      </c>
      <c r="C45" s="5">
        <v>5924488.4710882977</v>
      </c>
    </row>
    <row r="46" spans="1:3" x14ac:dyDescent="0.35">
      <c r="A46" s="1">
        <v>2049</v>
      </c>
      <c r="B46" s="5">
        <v>0</v>
      </c>
      <c r="C46" s="5">
        <v>5976527.6443607612</v>
      </c>
    </row>
    <row r="47" spans="1:3" x14ac:dyDescent="0.35">
      <c r="A47" s="1">
        <v>2050</v>
      </c>
      <c r="B47" s="5">
        <v>0</v>
      </c>
      <c r="C47" s="5">
        <v>6022648.2069690377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BAU scenario</vt:lpstr>
      <vt:lpstr>US-aligned scenario</vt:lpstr>
      <vt:lpstr>Token simulation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Xinlai Liu</dc:creator>
  <cp:lastModifiedBy>Xinlai Liu</cp:lastModifiedBy>
  <dcterms:created xsi:type="dcterms:W3CDTF">2015-06-05T18:17:20Z</dcterms:created>
  <dcterms:modified xsi:type="dcterms:W3CDTF">2025-11-20T16:18:47Z</dcterms:modified>
</cp:coreProperties>
</file>